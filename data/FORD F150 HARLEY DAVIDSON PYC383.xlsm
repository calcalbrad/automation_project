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JA-SERV2018\shared data\assessments\VERO ASSESSMENTS FEB 2025\"/>
    </mc:Choice>
  </mc:AlternateContent>
  <xr:revisionPtr revIDLastSave="0" documentId="14_{5F0C7D28-2CE5-4AED-BEFC-6D5040C2F1ED}" xr6:coauthVersionLast="47" xr6:coauthVersionMax="47" xr10:uidLastSave="{00000000-0000-0000-0000-000000000000}"/>
  <bookViews>
    <workbookView xWindow="20370" yWindow="-4680" windowWidth="29040" windowHeight="15840" tabRatio="688" xr2:uid="{00000000-000D-0000-FFFF-FFFF00000000}"/>
  </bookViews>
  <sheets>
    <sheet name="Quote Assessment" sheetId="4" r:id="rId1"/>
    <sheet name="Total Loss Assessment" sheetId="16" state="hidden" r:id="rId2"/>
    <sheet name="Supplementary" sheetId="8" state="hidden" r:id="rId3"/>
    <sheet name="Settings" sheetId="9" state="hidden" r:id="rId4"/>
    <sheet name="Assessment Lookups" sheetId="2" state="hidden" r:id="rId5"/>
    <sheet name="Total loss Lookups" sheetId="6" state="hidden" r:id="rId6"/>
  </sheets>
  <functionGroups builtInGroupCount="19"/>
  <definedNames>
    <definedName name="AgreedBy" localSheetId="2">Supplementary!$C$72</definedName>
    <definedName name="AgreedBy">'Quote Assessment'!$C$74</definedName>
    <definedName name="Assessment_Mode">'Quote Assessment'!$C$8</definedName>
    <definedName name="AssessmentMode" localSheetId="2">Supplementary!$C$8</definedName>
    <definedName name="AssessmentMode" localSheetId="1">'Assessment Lookups'!$F$5:$F$6</definedName>
    <definedName name="AssessmentMode">'Assessment Lookups'!$F$5:$F$6</definedName>
    <definedName name="Assessor_Base">'Total Loss Assessment'!$C$25</definedName>
    <definedName name="Assessor_Name">'Total Loss Assessment'!$C$13</definedName>
    <definedName name="Customer_Informed" localSheetId="1">'Total Loss Assessment'!$C$33</definedName>
    <definedName name="Customer_Informed_No_Contact_Reason">'Total Loss Assessment'!$E$33</definedName>
    <definedName name="Damage">'Total Loss Assessment'!$C$17</definedName>
    <definedName name="GC_GABRef" localSheetId="2">Supplementary!$H$6</definedName>
    <definedName name="GC_GABRef" localSheetId="1">'Quote Assessment'!$H$6</definedName>
    <definedName name="GC_GABRef">'Quote Assessment'!$H$6</definedName>
    <definedName name="GC_Insured" localSheetId="2">Supplementary!$H$8</definedName>
    <definedName name="GC_Insured">'Quote Assessment'!$H$8</definedName>
    <definedName name="GC_TodaysDate" localSheetId="2">Supplementary!$H$7</definedName>
    <definedName name="GC_TodaysDate">'Quote Assessment'!$H$7</definedName>
    <definedName name="GC_YourRef" localSheetId="2">Supplementary!$C$2</definedName>
    <definedName name="GC_YourRef" localSheetId="1">'Quote Assessment'!$C$2</definedName>
    <definedName name="GC_YourRef">'Quote Assessment'!$C$2</definedName>
    <definedName name="Hubometer">'Total Loss Assessment'!$C$22</definedName>
    <definedName name="InsuredMobile" localSheetId="2">Supplementary!$H$9</definedName>
    <definedName name="InsuredMobile">'Quote Assessment'!$H$9</definedName>
    <definedName name="LabourType" localSheetId="1">'Assessment Lookups'!$A$2:$A$7</definedName>
    <definedName name="LabourType">'Assessment Lookups'!$A$2:$A$7</definedName>
    <definedName name="LoseReason" localSheetId="2">Supplementary!#REF!</definedName>
    <definedName name="LossAdjuster" localSheetId="2">Supplementary!$C$7</definedName>
    <definedName name="LossAdjuster" localSheetId="1">'Quote Assessment'!$C$7</definedName>
    <definedName name="LossAdjuster">'Quote Assessment'!$C$7</definedName>
    <definedName name="LossReason" localSheetId="1">'Assessment Lookups'!$A$81:$A$87</definedName>
    <definedName name="LossReason">'Assessment Lookups'!$A$81:$A$87</definedName>
    <definedName name="MakeModel" localSheetId="2">Supplementary!$C$4</definedName>
    <definedName name="MakeModel" localSheetId="1">'Quote Assessment'!$C$4</definedName>
    <definedName name="MakeModel">'Quote Assessment'!$C$4</definedName>
    <definedName name="MarkUp" localSheetId="1">'Assessment Lookups'!$F$9:$F$11</definedName>
    <definedName name="MarkUp">'Assessment Lookups'!$F$9:$F$11</definedName>
    <definedName name="Model" localSheetId="2">Supplementary!$C$5</definedName>
    <definedName name="Model" localSheetId="1">'Quote Assessment'!$C$5</definedName>
    <definedName name="Model">'Quote Assessment'!$C$5</definedName>
    <definedName name="Motive_Power" localSheetId="1">'Total Loss Assessment'!$C$6</definedName>
    <definedName name="MotivePower" localSheetId="1">'Total loss Lookups'!$H$5:$H$14</definedName>
    <definedName name="MotivePower">'Total loss Lookups'!$H$5:$H$14</definedName>
    <definedName name="Nett_Total_Assessed" localSheetId="0">'Quote Assessment'!$K$54</definedName>
    <definedName name="Nett_Total_Assessed" localSheetId="2">Supplementary!$K$52</definedName>
    <definedName name="Nett_Total_Assessed">#REF!</definedName>
    <definedName name="Nett_Total_Assessed_Supp" localSheetId="2">Supplementary!$K$52</definedName>
    <definedName name="Nett_Total_Assessed_Supp">#REF!</definedName>
    <definedName name="Nett_Total_Quoted" localSheetId="0">'Quote Assessment'!$J$54</definedName>
    <definedName name="Nett_Total_Quoted" localSheetId="2">Supplementary!$J$52</definedName>
    <definedName name="Nett_Total_Quoted">#REF!</definedName>
    <definedName name="Nett_Total_Quoted_Supp" localSheetId="2">Supplementary!$J$52</definedName>
    <definedName name="Odometer">'Total Loss Assessment'!$C$21</definedName>
    <definedName name="Other_Reason" localSheetId="1">'Total Loss Assessment'!$E$32</definedName>
    <definedName name="Other_Source">'Total Loss Assessment'!$E$28</definedName>
    <definedName name="Outcome" localSheetId="1">'Assessment Lookups'!$A$75:$A$78</definedName>
    <definedName name="Outcome">'Assessment Lookups'!$A$75:$A$78</definedName>
    <definedName name="PaintType" localSheetId="1">'Assessment Lookups'!$A$10:$A$12</definedName>
    <definedName name="PaintType">'Assessment Lookups'!$A$10:$A$12</definedName>
    <definedName name="PartsType" localSheetId="1">'Assessment Lookups'!$A$15:$A$21</definedName>
    <definedName name="PartsType">'Assessment Lookups'!$A$15:$A$21</definedName>
    <definedName name="PAV_Obtained">'Total Loss Assessment'!$C$26</definedName>
    <definedName name="_xlnm.Print_Area" localSheetId="1">'Total Loss Assessment'!$A$1:$E$40</definedName>
    <definedName name="Quote_Total_Assessed" localSheetId="2">Supplementary!$K$54</definedName>
    <definedName name="Quote_Total_Assessed">'Quote Assessment'!$K$56</definedName>
    <definedName name="Quote_Total_Quoted" localSheetId="2">Supplementary!$J$54</definedName>
    <definedName name="Quote_Total_Quoted">'Quote Assessment'!$J$56</definedName>
    <definedName name="QuoteOutcome" localSheetId="2">Supplementary!$C$59</definedName>
    <definedName name="QuoteOutcome">'Quote Assessment'!$C$61</definedName>
    <definedName name="QuoteOutcomeReason" localSheetId="2">Supplementary!#REF!</definedName>
    <definedName name="QuoteOutcomeReason">'Quote Assessment'!$F$61</definedName>
    <definedName name="Reason" localSheetId="1">'Total Loss Assessment'!$C$32</definedName>
    <definedName name="ReasonForNoEstimate">'Total loss Lookups'!$A$51:$A$55</definedName>
    <definedName name="ReasonforNoWOVR" localSheetId="1">'Total loss Lookups'!$A$27:$A$28</definedName>
    <definedName name="ReasonforNoWOVR">'Total loss Lookups'!$A$27:$A$28</definedName>
    <definedName name="Rego" localSheetId="2">Supplementary!$C$6</definedName>
    <definedName name="Rego" localSheetId="1">'Quote Assessment'!$C$6</definedName>
    <definedName name="Rego">'Quote Assessment'!$C$6</definedName>
    <definedName name="Rego_Plates">'Total Loss Assessment'!$C$19</definedName>
    <definedName name="Repair_Estimate">'Total Loss Assessment'!$C$31</definedName>
    <definedName name="Repairer" localSheetId="2">Supplementary!$H$2</definedName>
    <definedName name="RepairEstimateObtained" localSheetId="1">'Total loss Lookups'!$A$36:$A$37</definedName>
    <definedName name="RepairEstimateObtained">'Total loss Lookups'!$A$36:$A$37</definedName>
    <definedName name="Replacement_Vehicle">'Total Loss Assessment'!$C$16</definedName>
    <definedName name="ReplacementVehicle" localSheetId="1">'Total loss Lookups'!$A$17:$A$18</definedName>
    <definedName name="ReplacementVehicle">'Total loss Lookups'!$A$17:$A$18</definedName>
    <definedName name="RUC" localSheetId="1">'Total Loss Assessment'!$C$23</definedName>
    <definedName name="Salvage_Disposal">'Total Loss Assessment'!$C$18</definedName>
    <definedName name="Salvage_Estimate">'Total Loss Assessment'!$C$27</definedName>
    <definedName name="Salvage_Estimate_Source">'Total Loss Assessment'!$C$28</definedName>
    <definedName name="SalvageDisposal">'Total loss Lookups'!$A$21:$A$22</definedName>
    <definedName name="SalvageEstimateSource" localSheetId="1">'Total loss Lookups'!$A$31:$A$32</definedName>
    <definedName name="SalvageEstimateSource">'Total loss Lookups'!$A$31:$A$32</definedName>
    <definedName name="SourceType" localSheetId="1">'Assessment Lookups'!$A$24:$A$25</definedName>
    <definedName name="SourceType">'Assessment Lookups'!$A$24:$A$25</definedName>
    <definedName name="SubletType" localSheetId="1">'Assessment Lookups'!$A$28:$A$72</definedName>
    <definedName name="SubletType">'Assessment Lookups'!$A$28:$A$72</definedName>
    <definedName name="TL_Assessment_Mode">'Total Loss Assessment'!$C$14</definedName>
    <definedName name="TL_ClaimNumber">'Total Loss Assessment'!$C$2</definedName>
    <definedName name="TL_Make">'Total Loss Assessment'!$C$4</definedName>
    <definedName name="TL_Model">'Total Loss Assessment'!$C$5</definedName>
    <definedName name="TL_Rego">'Total Loss Assessment'!$C$10</definedName>
    <definedName name="TL_Year">'Total Loss Assessment'!$C$3</definedName>
    <definedName name="TotalLoss" localSheetId="1">'Assessment Lookups'!$F$1:$F$2</definedName>
    <definedName name="TotalLoss">'Assessment Lookups'!$F$1:$F$2</definedName>
    <definedName name="Turners_Branch">'Total Loss Assessment'!$C$31</definedName>
    <definedName name="TypeofAssessment">'Assessment Lookups'!$F$81:$F$82</definedName>
    <definedName name="Vehicle_Location">'Total Loss Assessment'!$C$30</definedName>
    <definedName name="Vehicle_Type">'Total Loss Assessment'!$C$15</definedName>
    <definedName name="VehicleColour" localSheetId="1">'Total loss Lookups'!$N$33:$N$49</definedName>
    <definedName name="VehicleColour">'Total loss Lookups'!$N$33:$N$49</definedName>
    <definedName name="WOVRVehicleType" localSheetId="1">'Total loss Lookups'!$A$11:$A$14</definedName>
    <definedName name="WOVRVehicleType">'Total loss Lookups'!$A$11:$A$14</definedName>
    <definedName name="Year" localSheetId="2">Supplementary!$C$3</definedName>
    <definedName name="Year" localSheetId="1">'Quote Assessment'!$C$3</definedName>
    <definedName name="Year">'Quote Assessment'!$C$3</definedName>
  </definedNames>
  <calcPr calcId="181029"/>
</workbook>
</file>

<file path=xl/calcChain.xml><?xml version="1.0" encoding="utf-8"?>
<calcChain xmlns="http://schemas.openxmlformats.org/spreadsheetml/2006/main">
  <c r="I41" i="4" l="1"/>
  <c r="K41" i="4" s="1"/>
  <c r="K21" i="4"/>
  <c r="C5" i="16"/>
  <c r="C4" i="16"/>
  <c r="C3" i="16"/>
  <c r="C2" i="16"/>
  <c r="C10" i="16" l="1"/>
  <c r="H9" i="8"/>
  <c r="H8" i="8"/>
  <c r="E5" i="16"/>
  <c r="E4" i="16"/>
  <c r="K46" i="8" l="1"/>
  <c r="K47" i="8"/>
  <c r="K48" i="8"/>
  <c r="K49" i="8"/>
  <c r="K37" i="8"/>
  <c r="K38" i="8"/>
  <c r="K39" i="8"/>
  <c r="K40" i="8"/>
  <c r="K26" i="8"/>
  <c r="K27" i="8"/>
  <c r="K28" i="8"/>
  <c r="K29" i="8"/>
  <c r="K17" i="8"/>
  <c r="K18" i="8"/>
  <c r="K19" i="8"/>
  <c r="K20" i="8"/>
  <c r="K49" i="4"/>
  <c r="K50" i="4"/>
  <c r="K51" i="4"/>
  <c r="C72" i="8" l="1"/>
  <c r="C7" i="8"/>
  <c r="C8" i="8"/>
  <c r="K31" i="4" l="1"/>
  <c r="I38" i="4" l="1"/>
  <c r="I39" i="4"/>
  <c r="I40" i="4"/>
  <c r="I42" i="4"/>
  <c r="I37" i="4"/>
  <c r="I37" i="8"/>
  <c r="J37" i="8" s="1"/>
  <c r="I38" i="8"/>
  <c r="J38" i="8" s="1"/>
  <c r="I39" i="8"/>
  <c r="J39" i="8" s="1"/>
  <c r="I40" i="8"/>
  <c r="J40" i="8" s="1"/>
  <c r="I36" i="8"/>
  <c r="J36" i="8" s="1"/>
  <c r="K38" i="4" l="1"/>
  <c r="K39" i="4"/>
  <c r="K40" i="4"/>
  <c r="K20" i="4"/>
  <c r="E2" i="16"/>
  <c r="C6" i="8"/>
  <c r="C3" i="8"/>
  <c r="K45" i="8" l="1"/>
  <c r="K25" i="8" l="1"/>
  <c r="K16" i="8"/>
  <c r="K19" i="4" l="1"/>
  <c r="K18" i="4"/>
  <c r="K17" i="4"/>
  <c r="K29" i="4"/>
  <c r="K28" i="4"/>
  <c r="K27" i="4"/>
  <c r="C2" i="8" l="1"/>
  <c r="C4" i="8"/>
  <c r="C5" i="8"/>
  <c r="H6" i="8"/>
  <c r="H3" i="8"/>
  <c r="H2" i="8"/>
  <c r="K37" i="4" l="1"/>
  <c r="K50" i="8" l="1"/>
  <c r="J50" i="8"/>
  <c r="K36" i="8"/>
  <c r="K30" i="8"/>
  <c r="J30" i="8"/>
  <c r="K21" i="8"/>
  <c r="J21" i="8"/>
  <c r="K52" i="4"/>
  <c r="J52" i="4"/>
  <c r="K43" i="4"/>
  <c r="K41" i="8" l="1"/>
  <c r="K52" i="8" s="1"/>
  <c r="K53" i="8" s="1"/>
  <c r="K54" i="8" s="1"/>
  <c r="J41" i="8"/>
  <c r="J52" i="8" s="1"/>
  <c r="J31" i="8"/>
  <c r="K31" i="8"/>
  <c r="K32" i="4"/>
  <c r="J32" i="4"/>
  <c r="K23" i="4"/>
  <c r="J23" i="4"/>
  <c r="K54" i="4" l="1"/>
  <c r="J53" i="8"/>
  <c r="J54" i="8" s="1"/>
  <c r="J43" i="4"/>
  <c r="J54" i="4" s="1"/>
  <c r="K33" i="4"/>
  <c r="J33" i="4" l="1"/>
  <c r="I6" i="8" l="1"/>
  <c r="E7" i="8"/>
  <c r="E6" i="8"/>
  <c r="D6" i="8"/>
  <c r="D5" i="8"/>
  <c r="D7" i="8"/>
  <c r="E5" i="8"/>
  <c r="D4" i="8"/>
  <c r="E4" i="8"/>
  <c r="D3" i="8"/>
  <c r="E3" i="8"/>
  <c r="D2" i="8"/>
  <c r="E2" i="8"/>
  <c r="J55" i="4"/>
  <c r="J56" i="4" s="1"/>
  <c r="K55" i="4"/>
  <c r="K56" i="4" s="1"/>
</calcChain>
</file>

<file path=xl/sharedStrings.xml><?xml version="1.0" encoding="utf-8"?>
<sst xmlns="http://schemas.openxmlformats.org/spreadsheetml/2006/main" count="454" uniqueCount="298">
  <si>
    <t>Repairer</t>
  </si>
  <si>
    <t>Registration</t>
  </si>
  <si>
    <t>Odometer</t>
  </si>
  <si>
    <t>Labour Type - Options in drop down</t>
  </si>
  <si>
    <t xml:space="preserve">Other </t>
  </si>
  <si>
    <t>R&amp;R</t>
  </si>
  <si>
    <t>Repair</t>
  </si>
  <si>
    <t>R&amp;I</t>
  </si>
  <si>
    <t>Mechanical</t>
  </si>
  <si>
    <t>Plastics</t>
  </si>
  <si>
    <t>Paint - Options in drop down</t>
  </si>
  <si>
    <t>Paint Labour</t>
  </si>
  <si>
    <t>Other</t>
  </si>
  <si>
    <t>Paint Material</t>
  </si>
  <si>
    <t>Numbers</t>
  </si>
  <si>
    <t>Parts - Options in drop down</t>
  </si>
  <si>
    <t>Recycled/Green</t>
  </si>
  <si>
    <t>New OEM parts</t>
  </si>
  <si>
    <t>Exchange</t>
  </si>
  <si>
    <t>Parallel/Alternative</t>
  </si>
  <si>
    <t>Aftermarket</t>
  </si>
  <si>
    <t>Certified Aftermarket</t>
  </si>
  <si>
    <t>Aftermarket Accessories</t>
  </si>
  <si>
    <t>Source - Options in drop down</t>
  </si>
  <si>
    <t xml:space="preserve">External </t>
  </si>
  <si>
    <t>Internal</t>
  </si>
  <si>
    <t>Panel Work</t>
  </si>
  <si>
    <t>Chassis</t>
  </si>
  <si>
    <t>PDR</t>
  </si>
  <si>
    <t>Bumper Bar</t>
  </si>
  <si>
    <t>Bull Bar</t>
  </si>
  <si>
    <t>Tow Bar</t>
  </si>
  <si>
    <t>Head Lamps / Driving Lights</t>
  </si>
  <si>
    <t>Cooling (Multiple)</t>
  </si>
  <si>
    <t>Radiator</t>
  </si>
  <si>
    <t>Receiver Dryer</t>
  </si>
  <si>
    <t>Condenser</t>
  </si>
  <si>
    <t>Motor Glass</t>
  </si>
  <si>
    <t>Sun Roof</t>
  </si>
  <si>
    <t>Interior Trim</t>
  </si>
  <si>
    <t>Soft Top</t>
  </si>
  <si>
    <t>Mech (Multiple)</t>
  </si>
  <si>
    <t>Suspension</t>
  </si>
  <si>
    <t>Transmission</t>
  </si>
  <si>
    <t>Differential</t>
  </si>
  <si>
    <t>Engine</t>
  </si>
  <si>
    <t>Mechanical Report</t>
  </si>
  <si>
    <t>Theft Report</t>
  </si>
  <si>
    <t>Sharps</t>
  </si>
  <si>
    <t>Wheel Alignment</t>
  </si>
  <si>
    <t>Wheels</t>
  </si>
  <si>
    <t>Tyre</t>
  </si>
  <si>
    <t>Exhaust</t>
  </si>
  <si>
    <t>Fuel Contamination</t>
  </si>
  <si>
    <t>Fuel Tank</t>
  </si>
  <si>
    <t>Occupant Safety (SRS)</t>
  </si>
  <si>
    <t>Computer / SCAN</t>
  </si>
  <si>
    <t>Electrics</t>
  </si>
  <si>
    <t>Keys / Locks</t>
  </si>
  <si>
    <t>Alarm</t>
  </si>
  <si>
    <t>Data Dot</t>
  </si>
  <si>
    <t>Sound System</t>
  </si>
  <si>
    <t>SAT NAV</t>
  </si>
  <si>
    <t>DVD</t>
  </si>
  <si>
    <t>Car Phone</t>
  </si>
  <si>
    <t>Paint Protection</t>
  </si>
  <si>
    <t>Rust Proofing</t>
  </si>
  <si>
    <t>Sign Writing</t>
  </si>
  <si>
    <t>Decals</t>
  </si>
  <si>
    <t>Nett Total</t>
  </si>
  <si>
    <t>GST</t>
  </si>
  <si>
    <t>Outcome - Options in Drop down</t>
  </si>
  <si>
    <t xml:space="preserve">Win </t>
  </si>
  <si>
    <t>Loss Reason - Option in Drop down</t>
  </si>
  <si>
    <t>Claim Number</t>
  </si>
  <si>
    <t>Make</t>
  </si>
  <si>
    <t>Model</t>
  </si>
  <si>
    <t>Quote number</t>
  </si>
  <si>
    <t>Total loss (Y/N)</t>
  </si>
  <si>
    <t>Submitted date</t>
  </si>
  <si>
    <t>Year</t>
  </si>
  <si>
    <t>Sublet Type - Options in drop down</t>
  </si>
  <si>
    <t>No</t>
  </si>
  <si>
    <t>Source</t>
  </si>
  <si>
    <t>Type</t>
  </si>
  <si>
    <t>Description</t>
  </si>
  <si>
    <t>M/Up %</t>
  </si>
  <si>
    <t>Unit Price ($)</t>
  </si>
  <si>
    <t>M/Up Amount ($)</t>
  </si>
  <si>
    <t>LABOUR</t>
  </si>
  <si>
    <t>PAINT</t>
  </si>
  <si>
    <t>Sub Totals</t>
  </si>
  <si>
    <t>Sub total</t>
  </si>
  <si>
    <t>Paint and Labour total</t>
  </si>
  <si>
    <t>Quote Outcome</t>
  </si>
  <si>
    <t>Original ECD</t>
  </si>
  <si>
    <t>Lose - Select a reason</t>
  </si>
  <si>
    <t>Yes - complete total loss template also</t>
  </si>
  <si>
    <t>Quoted Amount ($)</t>
  </si>
  <si>
    <t>Assessed Amount ($)</t>
  </si>
  <si>
    <t>Quote Amount ($)</t>
  </si>
  <si>
    <t>Agreed by</t>
  </si>
  <si>
    <t>Assessor Name</t>
  </si>
  <si>
    <t>Assessment Mode</t>
  </si>
  <si>
    <t>Assessment Mode options</t>
  </si>
  <si>
    <t>Lose Reason - Total Loss</t>
  </si>
  <si>
    <t>Liquid Petroleum Gas</t>
  </si>
  <si>
    <t>Desktop Assessment</t>
  </si>
  <si>
    <t>Onsite Assessment</t>
  </si>
  <si>
    <t>Type of Write off assessment - Options in drop down</t>
  </si>
  <si>
    <t>Write off only</t>
  </si>
  <si>
    <t>Salvage Only</t>
  </si>
  <si>
    <t>Write off only and Salvage only</t>
  </si>
  <si>
    <t>Assessment Mode - Options in drop down</t>
  </si>
  <si>
    <t>Motive Power - Options in drop down</t>
  </si>
  <si>
    <t>Hybrid</t>
  </si>
  <si>
    <t>Petrol</t>
  </si>
  <si>
    <t>WOVR Vehicle Type - Options in Drop Down</t>
  </si>
  <si>
    <t>Standard Vehicle</t>
  </si>
  <si>
    <t>Solar</t>
  </si>
  <si>
    <t>Motorbike</t>
  </si>
  <si>
    <t>Electric</t>
  </si>
  <si>
    <t>Caravan</t>
  </si>
  <si>
    <t>Trailer</t>
  </si>
  <si>
    <t>LPG only</t>
  </si>
  <si>
    <t>Replacement Vehicle - Options in Drop Down</t>
  </si>
  <si>
    <t>Petrol or LPG (Dual)</t>
  </si>
  <si>
    <t>Yes</t>
  </si>
  <si>
    <t>Not applicable</t>
  </si>
  <si>
    <t>Salvage Disposal - Options in Drop Down</t>
  </si>
  <si>
    <t>If Selects</t>
  </si>
  <si>
    <t>With Rego Plates Yes or No</t>
  </si>
  <si>
    <t>Owner Retaining</t>
  </si>
  <si>
    <t>With Rego Plates Yes or No and then Collection Location Address</t>
  </si>
  <si>
    <t>Need to include the Salvage Purchaser Name</t>
  </si>
  <si>
    <t>Reason for no WOVR - Options in Drop Down</t>
  </si>
  <si>
    <t>Not required for this jurisdiction</t>
  </si>
  <si>
    <t>Need to complete odometer reading</t>
  </si>
  <si>
    <t>Unrecovered theft</t>
  </si>
  <si>
    <t>Salvage Estimate Source - Options in Drop Down</t>
  </si>
  <si>
    <t>Turners</t>
  </si>
  <si>
    <t>Other - please advise who</t>
  </si>
  <si>
    <t>Colour - Options in Drop Down</t>
  </si>
  <si>
    <t>Aqua</t>
  </si>
  <si>
    <t>Beige</t>
  </si>
  <si>
    <t>Was a Repair Estimate Obtained - Options in Drop Down</t>
  </si>
  <si>
    <t>Black</t>
  </si>
  <si>
    <t>Blue</t>
  </si>
  <si>
    <t>Brown</t>
  </si>
  <si>
    <t>Champagne</t>
  </si>
  <si>
    <t>Gold</t>
  </si>
  <si>
    <t>If Yes</t>
  </si>
  <si>
    <t>Green</t>
  </si>
  <si>
    <t>I am satisfied that the estimate has been</t>
  </si>
  <si>
    <t>Grey</t>
  </si>
  <si>
    <t>prepared based on manufacturer approved</t>
  </si>
  <si>
    <t>Maroon</t>
  </si>
  <si>
    <t>repair methods and specifications including</t>
  </si>
  <si>
    <t>Orange</t>
  </si>
  <si>
    <t>those supplied by other industry standards</t>
  </si>
  <si>
    <t>Pink</t>
  </si>
  <si>
    <t>where manufacturer approved methods</t>
  </si>
  <si>
    <t>Purple</t>
  </si>
  <si>
    <t>including those supplied by other industry</t>
  </si>
  <si>
    <t>Red</t>
  </si>
  <si>
    <t>recognised agencies or authorities are unavailable</t>
  </si>
  <si>
    <t>Silver</t>
  </si>
  <si>
    <t>White</t>
  </si>
  <si>
    <t>If No</t>
  </si>
  <si>
    <t>Yellow</t>
  </si>
  <si>
    <t xml:space="preserve">Reasons are </t>
  </si>
  <si>
    <t>Obvious Total Loss</t>
  </si>
  <si>
    <t xml:space="preserve">Vehicle Burnt Out </t>
  </si>
  <si>
    <t>Vehicle Unrecovered</t>
  </si>
  <si>
    <t>PAV obtained from - Options in Drop Down</t>
  </si>
  <si>
    <t>Auto Edge</t>
  </si>
  <si>
    <t>Manheim</t>
  </si>
  <si>
    <t>Sum Insured/Agreed Value/Amount Covered</t>
  </si>
  <si>
    <t>Motive Power</t>
  </si>
  <si>
    <t>Vehicle Colour</t>
  </si>
  <si>
    <t>Body Style</t>
  </si>
  <si>
    <t>Engine Capacity (cc)</t>
  </si>
  <si>
    <t>WOVR Vehicle Type</t>
  </si>
  <si>
    <t>Replacement Vehicle</t>
  </si>
  <si>
    <t>Has the vehicle suffered non repairable damage?</t>
  </si>
  <si>
    <t>Salvage Disposal</t>
  </si>
  <si>
    <t>With Rego Plates</t>
  </si>
  <si>
    <t>Reason for no WOVR</t>
  </si>
  <si>
    <t>Salvage Estimate</t>
  </si>
  <si>
    <t>Salvage Estimate Source</t>
  </si>
  <si>
    <t>Reasons for No Estimate Obtained</t>
  </si>
  <si>
    <t>PAV Obtained from</t>
  </si>
  <si>
    <t>Mark Up options</t>
  </si>
  <si>
    <t>I have confirmed with the repairer that the estimate has been prepared based on manufacturer repair methods and specifications including</t>
  </si>
  <si>
    <t>those supplied by other industry recognised agencies or authorities, or industry standards where manufacturer approved methods including</t>
  </si>
  <si>
    <t>those  supplied by other industry recognised agencies or authorities are unavailable.  Also that the vehicle will be repaired to those standards</t>
  </si>
  <si>
    <t xml:space="preserve">and under no circumstances is any structural or safety related component to be sectioned or heated for repair unless specified by the </t>
  </si>
  <si>
    <t>manufacturer including those supplied by other industry recognised agencies or authorities.</t>
  </si>
  <si>
    <t>Comments</t>
  </si>
  <si>
    <t>Quote Total</t>
  </si>
  <si>
    <t>Quantity</t>
  </si>
  <si>
    <t>Lose Reason - Repair Not Proceeding</t>
  </si>
  <si>
    <t>Type of Assessment - Reason in Drop Down</t>
  </si>
  <si>
    <t>Supplementary Assessment</t>
  </si>
  <si>
    <t>Original Assessment</t>
  </si>
  <si>
    <t>Date</t>
  </si>
  <si>
    <t>Insured</t>
  </si>
  <si>
    <t>Phone / Mobile</t>
  </si>
  <si>
    <t>Tyres</t>
  </si>
  <si>
    <t>RF:</t>
  </si>
  <si>
    <t>RR:</t>
  </si>
  <si>
    <t>LF:</t>
  </si>
  <si>
    <t>LR:</t>
  </si>
  <si>
    <t>WOF</t>
  </si>
  <si>
    <t>Brakes</t>
  </si>
  <si>
    <t>FT:</t>
  </si>
  <si>
    <t>H</t>
  </si>
  <si>
    <t>KM</t>
  </si>
  <si>
    <t>PARTS - Please provide copies of all parts supply invoices with your invoice</t>
  </si>
  <si>
    <t>SUBLET - Please provide copies of all  outwork / sublet invoices with your invoice</t>
  </si>
  <si>
    <t>This document is not to be construed as an admission by any other person or party of liability to pay your account in connection with the estimate above</t>
  </si>
  <si>
    <t>Any variation from the repairer specification or quoted parts prices MUST BE APPROVED by the assessor BEFORE proceeding</t>
  </si>
  <si>
    <t>The repairs are to be carried out in a good tradesmanlike manner to the satisfaction of the insured</t>
  </si>
  <si>
    <t>Please provide copies of all parts supply and outwork / sublet invoices with your invoice</t>
  </si>
  <si>
    <t>Assessor Base PAV (incl GST)</t>
  </si>
  <si>
    <t>Win - Review Required</t>
  </si>
  <si>
    <t>Assessor Ref</t>
  </si>
  <si>
    <t>Supplementary (Y/N)</t>
  </si>
  <si>
    <t>Excess</t>
  </si>
  <si>
    <t>Inc</t>
  </si>
  <si>
    <t>Totals Included</t>
  </si>
  <si>
    <t>Name</t>
  </si>
  <si>
    <t>Value</t>
  </si>
  <si>
    <t>Version</t>
  </si>
  <si>
    <t>Other Source</t>
  </si>
  <si>
    <t>Turners Branch</t>
  </si>
  <si>
    <t>Turners Branches</t>
  </si>
  <si>
    <t>Turners Whangarei</t>
  </si>
  <si>
    <t>Turners Auckland</t>
  </si>
  <si>
    <t>Turners Palmerston North</t>
  </si>
  <si>
    <t>Vehicle Location (if not turners)</t>
  </si>
  <si>
    <t>RUC's</t>
  </si>
  <si>
    <t>Hubometer or Hours</t>
  </si>
  <si>
    <t>Win - Cash Settlement</t>
  </si>
  <si>
    <t>Was a Repair Estimate obtained</t>
  </si>
  <si>
    <t>Turners Wiri Manukau</t>
  </si>
  <si>
    <t>Turners Hamilton</t>
  </si>
  <si>
    <t>Turners Tauranga</t>
  </si>
  <si>
    <t>Turners Napier</t>
  </si>
  <si>
    <t>Turners Wellington</t>
  </si>
  <si>
    <t>Turners Christchurch</t>
  </si>
  <si>
    <t>Turners Dunedin</t>
  </si>
  <si>
    <t>Lose Reason</t>
  </si>
  <si>
    <t>Customer Informed</t>
  </si>
  <si>
    <t>Yes - By phone</t>
  </si>
  <si>
    <t>Yes - By email/post</t>
  </si>
  <si>
    <t>No - Left message to call</t>
  </si>
  <si>
    <t>No - No contact</t>
  </si>
  <si>
    <t>Exc</t>
  </si>
  <si>
    <t>Other Reason</t>
  </si>
  <si>
    <t>Assessor Arranging Tow</t>
  </si>
  <si>
    <t>Water Damaged</t>
  </si>
  <si>
    <t>Diesel Light</t>
  </si>
  <si>
    <t>Supplementary Outcome</t>
  </si>
  <si>
    <t xml:space="preserve">Authorise </t>
  </si>
  <si>
    <t xml:space="preserve">Reject </t>
  </si>
  <si>
    <t>Diesel Heavy</t>
  </si>
  <si>
    <t>Diesel Unrecovered or Burnt Out</t>
  </si>
  <si>
    <t>No Contact Reason</t>
  </si>
  <si>
    <t>&lt;&lt; Must be a numeric value</t>
  </si>
  <si>
    <t>&lt;&lt; Must be a positive dollar value
&lt;&lt; Must be a dollar value</t>
  </si>
  <si>
    <t>N008653405</t>
  </si>
  <si>
    <t>LS Motors Ltd.</t>
  </si>
  <si>
    <t>FORD</t>
  </si>
  <si>
    <t>F150 HARLEY-DAVIDSON PICKUP SUPER C REW</t>
  </si>
  <si>
    <t>PCY383</t>
  </si>
  <si>
    <t>Wayne Jones &amp; Associates</t>
  </si>
  <si>
    <t>25/8864</t>
  </si>
  <si>
    <t>Cameron Osbourne</t>
  </si>
  <si>
    <t>0272860834</t>
  </si>
  <si>
    <t>F bumper</t>
  </si>
  <si>
    <t>Grille</t>
  </si>
  <si>
    <t>RF headlamp</t>
  </si>
  <si>
    <t>RF indicaor</t>
  </si>
  <si>
    <t>RF guard</t>
  </si>
  <si>
    <t>Trial fit</t>
  </si>
  <si>
    <t>F grille</t>
  </si>
  <si>
    <t>Parking lamp</t>
  </si>
  <si>
    <t>Headlamp</t>
  </si>
  <si>
    <t>Margin</t>
  </si>
  <si>
    <t>Freight</t>
  </si>
  <si>
    <t>Wheel alignment</t>
  </si>
  <si>
    <t>tba</t>
  </si>
  <si>
    <t>Materials</t>
  </si>
  <si>
    <t>inhouse</t>
  </si>
  <si>
    <t>We assisted locating a parts supplier on behalf of the repairer to arrange ex USA</t>
  </si>
  <si>
    <t>Repairs authorised with wheel alignment requestred along with images and invoices</t>
  </si>
  <si>
    <t>Warren Paton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</si>
</sst>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7" formatCode="&quot;$&quot;#,##0.00;\-&quot;$&quot;#,##0.00"/>
    <numFmt numFmtId="44" formatCode="_-&quot;$&quot;* #,##0.00_-;\-&quot;$&quot;* #,##0.00_-;_-&quot;$&quot;* &quot;-&quot;??_-;_-@_-"/>
    <numFmt numFmtId="164" formatCode="_-[$$-1409]* #,##0.00_-;\-[$$-1409]* #,##0.00_-;_-[$$-1409]* &quot;-&quot;??_-;_-@_-"/>
    <numFmt numFmtId="165" formatCode="[$$-1409]#,##0.00;\-[$$-1409]#,##0.00"/>
    <numFmt numFmtId="166" formatCode="&quot;$&quot;#,##0.00"/>
    <numFmt numFmtId="167" formatCode="&quot;$&quot;#,##0.00;[Red]\-&quot;$&quot;#,##0.00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1">
    <xf numFmtId="0" fontId="0" fillId="0" borderId="0" xfId="0"/>
    <xf numFmtId="9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0" borderId="0" xfId="0" applyFont="1" applyAlignment="1">
      <alignment horizontal="center"/>
    </xf>
    <xf numFmtId="0" fontId="6" fillId="2" borderId="7" xfId="0" applyFont="1" applyFill="1" applyBorder="1"/>
    <xf numFmtId="0" fontId="6" fillId="2" borderId="3" xfId="0" applyFont="1" applyFill="1" applyBorder="1"/>
    <xf numFmtId="0" fontId="6" fillId="2" borderId="27" xfId="0" applyFont="1" applyFill="1" applyBorder="1"/>
    <xf numFmtId="0" fontId="6" fillId="2" borderId="5" xfId="0" applyFont="1" applyFill="1" applyBorder="1"/>
    <xf numFmtId="0" fontId="6" fillId="2" borderId="31" xfId="0" applyFont="1" applyFill="1" applyBorder="1"/>
    <xf numFmtId="0" fontId="6" fillId="2" borderId="29" xfId="0" applyFont="1" applyFill="1" applyBorder="1" applyAlignment="1">
      <alignment horizontal="center"/>
    </xf>
    <xf numFmtId="0" fontId="6" fillId="2" borderId="13" xfId="0" applyFont="1" applyFill="1" applyBorder="1"/>
    <xf numFmtId="44" fontId="6" fillId="0" borderId="0" xfId="1" applyFont="1" applyAlignment="1">
      <alignment horizontal="center"/>
    </xf>
    <xf numFmtId="0" fontId="6" fillId="2" borderId="12" xfId="0" applyFont="1" applyFill="1" applyBorder="1"/>
    <xf numFmtId="0" fontId="6" fillId="2" borderId="14" xfId="0" applyFont="1" applyFill="1" applyBorder="1"/>
    <xf numFmtId="0" fontId="6" fillId="0" borderId="26" xfId="0" applyFont="1" applyBorder="1"/>
    <xf numFmtId="44" fontId="6" fillId="0" borderId="37" xfId="1" applyFont="1" applyBorder="1" applyAlignment="1">
      <alignment horizontal="center"/>
    </xf>
    <xf numFmtId="44" fontId="6" fillId="0" borderId="21" xfId="1" applyFont="1" applyBorder="1" applyAlignment="1">
      <alignment horizontal="center"/>
    </xf>
    <xf numFmtId="0" fontId="6" fillId="2" borderId="9" xfId="0" applyFont="1" applyFill="1" applyBorder="1"/>
    <xf numFmtId="0" fontId="6" fillId="0" borderId="11" xfId="0" applyFont="1" applyBorder="1"/>
    <xf numFmtId="44" fontId="6" fillId="0" borderId="4" xfId="1" applyFont="1" applyBorder="1" applyAlignment="1">
      <alignment horizontal="center"/>
    </xf>
    <xf numFmtId="0" fontId="6" fillId="0" borderId="17" xfId="0" applyFont="1" applyBorder="1"/>
    <xf numFmtId="44" fontId="6" fillId="0" borderId="6" xfId="1" applyFont="1" applyBorder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7" fillId="0" borderId="0" xfId="0" applyFont="1"/>
    <xf numFmtId="0" fontId="6" fillId="2" borderId="40" xfId="0" applyFont="1" applyFill="1" applyBorder="1" applyAlignment="1">
      <alignment horizontal="center" wrapText="1"/>
    </xf>
    <xf numFmtId="44" fontId="6" fillId="2" borderId="2" xfId="1" applyFont="1" applyFill="1" applyBorder="1" applyAlignment="1">
      <alignment horizontal="center" wrapText="1"/>
    </xf>
    <xf numFmtId="164" fontId="6" fillId="0" borderId="0" xfId="0" applyNumberFormat="1" applyFont="1"/>
    <xf numFmtId="165" fontId="6" fillId="0" borderId="0" xfId="0" applyNumberFormat="1" applyFont="1" applyAlignment="1">
      <alignment horizontal="center"/>
    </xf>
    <xf numFmtId="0" fontId="6" fillId="0" borderId="3" xfId="0" applyFont="1" applyBorder="1"/>
    <xf numFmtId="0" fontId="6" fillId="0" borderId="5" xfId="0" applyFont="1" applyBorder="1"/>
    <xf numFmtId="0" fontId="6" fillId="0" borderId="27" xfId="0" applyFont="1" applyBorder="1"/>
    <xf numFmtId="164" fontId="6" fillId="0" borderId="11" xfId="1" applyNumberFormat="1" applyFont="1" applyFill="1" applyBorder="1"/>
    <xf numFmtId="9" fontId="6" fillId="0" borderId="11" xfId="2" applyFont="1" applyFill="1" applyBorder="1"/>
    <xf numFmtId="0" fontId="6" fillId="0" borderId="31" xfId="0" applyFont="1" applyBorder="1"/>
    <xf numFmtId="0" fontId="6" fillId="2" borderId="18" xfId="0" applyFont="1" applyFill="1" applyBorder="1" applyAlignment="1">
      <alignment horizontal="left"/>
    </xf>
    <xf numFmtId="0" fontId="6" fillId="2" borderId="18" xfId="0" applyFont="1" applyFill="1" applyBorder="1" applyAlignment="1">
      <alignment horizontal="center"/>
    </xf>
    <xf numFmtId="44" fontId="6" fillId="0" borderId="39" xfId="1" applyFont="1" applyFill="1" applyBorder="1" applyAlignment="1">
      <alignment horizontal="center"/>
    </xf>
    <xf numFmtId="0" fontId="2" fillId="0" borderId="9" xfId="0" applyFont="1" applyBorder="1"/>
    <xf numFmtId="0" fontId="2" fillId="0" borderId="36" xfId="0" applyFont="1" applyBorder="1"/>
    <xf numFmtId="44" fontId="2" fillId="0" borderId="10" xfId="1" applyFont="1" applyFill="1" applyBorder="1" applyAlignment="1">
      <alignment horizontal="center"/>
    </xf>
    <xf numFmtId="0" fontId="6" fillId="2" borderId="7" xfId="0" applyFont="1" applyFill="1" applyBorder="1" applyAlignment="1">
      <alignment horizontal="left"/>
    </xf>
    <xf numFmtId="0" fontId="2" fillId="0" borderId="20" xfId="0" applyFont="1" applyBorder="1"/>
    <xf numFmtId="0" fontId="2" fillId="0" borderId="0" xfId="0" applyFont="1"/>
    <xf numFmtId="44" fontId="2" fillId="0" borderId="21" xfId="1" applyFont="1" applyBorder="1" applyAlignment="1">
      <alignment horizontal="center"/>
    </xf>
    <xf numFmtId="44" fontId="2" fillId="0" borderId="10" xfId="1" applyFont="1" applyBorder="1" applyAlignment="1">
      <alignment horizontal="center"/>
    </xf>
    <xf numFmtId="0" fontId="6" fillId="0" borderId="37" xfId="0" applyFont="1" applyBorder="1"/>
    <xf numFmtId="0" fontId="6" fillId="0" borderId="21" xfId="0" applyFont="1" applyBorder="1"/>
    <xf numFmtId="0" fontId="6" fillId="0" borderId="4" xfId="0" applyFont="1" applyBorder="1"/>
    <xf numFmtId="0" fontId="6" fillId="0" borderId="6" xfId="0" applyFont="1" applyBorder="1"/>
    <xf numFmtId="0" fontId="6" fillId="2" borderId="2" xfId="0" applyFont="1" applyFill="1" applyBorder="1" applyAlignment="1">
      <alignment horizontal="center" wrapText="1"/>
    </xf>
    <xf numFmtId="0" fontId="2" fillId="0" borderId="10" xfId="0" applyFont="1" applyBorder="1"/>
    <xf numFmtId="0" fontId="2" fillId="0" borderId="21" xfId="0" applyFont="1" applyBorder="1"/>
    <xf numFmtId="0" fontId="6" fillId="0" borderId="4" xfId="0" applyFont="1" applyBorder="1" applyAlignment="1">
      <alignment horizontal="left"/>
    </xf>
    <xf numFmtId="44" fontId="6" fillId="0" borderId="0" xfId="1" applyFont="1" applyBorder="1" applyAlignment="1">
      <alignment horizontal="center"/>
    </xf>
    <xf numFmtId="9" fontId="6" fillId="0" borderId="48" xfId="2" applyFont="1" applyFill="1" applyBorder="1"/>
    <xf numFmtId="9" fontId="6" fillId="0" borderId="17" xfId="2" applyFont="1" applyFill="1" applyBorder="1"/>
    <xf numFmtId="0" fontId="6" fillId="2" borderId="51" xfId="0" applyFont="1" applyFill="1" applyBorder="1"/>
    <xf numFmtId="0" fontId="6" fillId="2" borderId="52" xfId="0" applyFont="1" applyFill="1" applyBorder="1" applyAlignment="1">
      <alignment horizontal="center" wrapText="1"/>
    </xf>
    <xf numFmtId="0" fontId="6" fillId="2" borderId="53" xfId="0" applyFont="1" applyFill="1" applyBorder="1" applyAlignment="1">
      <alignment horizontal="center" wrapText="1"/>
    </xf>
    <xf numFmtId="0" fontId="6" fillId="0" borderId="41" xfId="0" applyFont="1" applyBorder="1"/>
    <xf numFmtId="165" fontId="6" fillId="0" borderId="0" xfId="0" applyNumberFormat="1" applyFont="1"/>
    <xf numFmtId="44" fontId="6" fillId="0" borderId="0" xfId="1" applyFont="1" applyFill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0" borderId="20" xfId="0" applyFont="1" applyBorder="1"/>
    <xf numFmtId="0" fontId="6" fillId="0" borderId="45" xfId="0" applyFont="1" applyBorder="1"/>
    <xf numFmtId="0" fontId="6" fillId="0" borderId="2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3" borderId="0" xfId="0" applyFont="1" applyFill="1"/>
    <xf numFmtId="0" fontId="6" fillId="2" borderId="40" xfId="0" applyFont="1" applyFill="1" applyBorder="1"/>
    <xf numFmtId="0" fontId="6" fillId="0" borderId="48" xfId="0" applyFont="1" applyBorder="1"/>
    <xf numFmtId="0" fontId="6" fillId="2" borderId="54" xfId="0" applyFont="1" applyFill="1" applyBorder="1" applyAlignment="1">
      <alignment horizontal="left"/>
    </xf>
    <xf numFmtId="166" fontId="6" fillId="0" borderId="0" xfId="0" applyNumberFormat="1" applyFont="1"/>
    <xf numFmtId="7" fontId="6" fillId="0" borderId="0" xfId="0" applyNumberFormat="1" applyFont="1"/>
    <xf numFmtId="39" fontId="6" fillId="0" borderId="11" xfId="1" applyNumberFormat="1" applyFont="1" applyFill="1" applyBorder="1" applyAlignment="1">
      <alignment horizontal="right"/>
    </xf>
    <xf numFmtId="39" fontId="6" fillId="0" borderId="48" xfId="1" applyNumberFormat="1" applyFont="1" applyFill="1" applyBorder="1" applyAlignment="1">
      <alignment horizontal="right"/>
    </xf>
    <xf numFmtId="7" fontId="6" fillId="0" borderId="0" xfId="0" applyNumberFormat="1" applyFont="1" applyAlignment="1">
      <alignment horizontal="right"/>
    </xf>
    <xf numFmtId="7" fontId="6" fillId="0" borderId="0" xfId="1" applyNumberFormat="1" applyFont="1" applyAlignment="1">
      <alignment horizontal="right"/>
    </xf>
    <xf numFmtId="7" fontId="6" fillId="0" borderId="0" xfId="1" applyNumberFormat="1" applyFont="1" applyFill="1" applyBorder="1" applyAlignment="1">
      <alignment horizontal="right"/>
    </xf>
    <xf numFmtId="7" fontId="6" fillId="0" borderId="0" xfId="1" applyNumberFormat="1" applyFont="1" applyFill="1" applyAlignment="1">
      <alignment horizontal="right"/>
    </xf>
    <xf numFmtId="39" fontId="6" fillId="0" borderId="17" xfId="1" applyNumberFormat="1" applyFont="1" applyFill="1" applyBorder="1" applyAlignment="1">
      <alignment horizontal="right"/>
    </xf>
    <xf numFmtId="167" fontId="6" fillId="0" borderId="11" xfId="1" applyNumberFormat="1" applyFont="1" applyFill="1" applyBorder="1" applyAlignment="1">
      <alignment horizontal="right" vertical="top"/>
    </xf>
    <xf numFmtId="167" fontId="6" fillId="0" borderId="4" xfId="1" applyNumberFormat="1" applyFont="1" applyFill="1" applyBorder="1" applyAlignment="1">
      <alignment horizontal="right" vertical="top"/>
    </xf>
    <xf numFmtId="167" fontId="6" fillId="0" borderId="48" xfId="1" applyNumberFormat="1" applyFont="1" applyFill="1" applyBorder="1" applyAlignment="1">
      <alignment horizontal="right" vertical="top"/>
    </xf>
    <xf numFmtId="167" fontId="6" fillId="0" borderId="17" xfId="1" applyNumberFormat="1" applyFont="1" applyFill="1" applyBorder="1" applyAlignment="1">
      <alignment horizontal="right" vertical="top"/>
    </xf>
    <xf numFmtId="167" fontId="6" fillId="0" borderId="6" xfId="1" applyNumberFormat="1" applyFont="1" applyFill="1" applyBorder="1" applyAlignment="1">
      <alignment horizontal="right" vertical="top"/>
    </xf>
    <xf numFmtId="167" fontId="6" fillId="0" borderId="11" xfId="0" applyNumberFormat="1" applyFont="1" applyBorder="1" applyAlignment="1">
      <alignment horizontal="right"/>
    </xf>
    <xf numFmtId="167" fontId="6" fillId="0" borderId="4" xfId="1" applyNumberFormat="1" applyFont="1" applyFill="1" applyBorder="1" applyAlignment="1">
      <alignment horizontal="right"/>
    </xf>
    <xf numFmtId="167" fontId="6" fillId="0" borderId="17" xfId="0" applyNumberFormat="1" applyFont="1" applyBorder="1" applyAlignment="1">
      <alignment horizontal="right"/>
    </xf>
    <xf numFmtId="167" fontId="6" fillId="0" borderId="6" xfId="1" applyNumberFormat="1" applyFont="1" applyFill="1" applyBorder="1" applyAlignment="1">
      <alignment horizontal="right"/>
    </xf>
    <xf numFmtId="167" fontId="6" fillId="0" borderId="48" xfId="0" applyNumberFormat="1" applyFont="1" applyBorder="1" applyAlignment="1">
      <alignment horizontal="right"/>
    </xf>
    <xf numFmtId="167" fontId="6" fillId="0" borderId="46" xfId="0" applyNumberFormat="1" applyFont="1" applyBorder="1" applyAlignment="1">
      <alignment horizontal="right"/>
    </xf>
    <xf numFmtId="167" fontId="6" fillId="0" borderId="11" xfId="1" applyNumberFormat="1" applyFont="1" applyFill="1" applyBorder="1" applyAlignment="1">
      <alignment horizontal="right"/>
    </xf>
    <xf numFmtId="167" fontId="6" fillId="0" borderId="48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/>
    </xf>
    <xf numFmtId="167" fontId="6" fillId="0" borderId="17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 vertical="top"/>
    </xf>
    <xf numFmtId="0" fontId="6" fillId="2" borderId="7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vertical="center"/>
    </xf>
    <xf numFmtId="0" fontId="6" fillId="2" borderId="22" xfId="0" applyFont="1" applyFill="1" applyBorder="1"/>
    <xf numFmtId="0" fontId="6" fillId="0" borderId="55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2" borderId="48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6" fontId="6" fillId="0" borderId="40" xfId="0" applyNumberFormat="1" applyFont="1" applyBorder="1" applyAlignment="1">
      <alignment horizontal="left"/>
    </xf>
    <xf numFmtId="6" fontId="6" fillId="0" borderId="11" xfId="0" applyNumberFormat="1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4" fontId="6" fillId="0" borderId="4" xfId="0" applyNumberFormat="1" applyFont="1" applyBorder="1" applyAlignment="1">
      <alignment horizontal="left"/>
    </xf>
    <xf numFmtId="49" fontId="6" fillId="0" borderId="6" xfId="0" applyNumberFormat="1" applyFont="1" applyBorder="1" applyAlignment="1">
      <alignment horizontal="left"/>
    </xf>
    <xf numFmtId="0" fontId="6" fillId="2" borderId="58" xfId="0" applyFont="1" applyFill="1" applyBorder="1"/>
    <xf numFmtId="0" fontId="8" fillId="0" borderId="0" xfId="0" applyFont="1"/>
    <xf numFmtId="0" fontId="6" fillId="2" borderId="40" xfId="0" applyFont="1" applyFill="1" applyBorder="1"/>
    <xf numFmtId="0" fontId="6" fillId="0" borderId="11" xfId="0" applyFont="1" applyBorder="1"/>
    <xf numFmtId="0" fontId="6" fillId="0" borderId="32" xfId="0" applyFont="1" applyBorder="1"/>
    <xf numFmtId="0" fontId="6" fillId="0" borderId="24" xfId="0" applyFont="1" applyBorder="1"/>
    <xf numFmtId="0" fontId="6" fillId="0" borderId="50" xfId="0" applyFont="1" applyBorder="1"/>
    <xf numFmtId="0" fontId="6" fillId="0" borderId="48" xfId="0" applyFont="1" applyBorder="1"/>
    <xf numFmtId="0" fontId="6" fillId="0" borderId="48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6" fillId="0" borderId="25" xfId="0" applyFont="1" applyBorder="1" applyAlignment="1">
      <alignment horizontal="left"/>
    </xf>
    <xf numFmtId="0" fontId="2" fillId="0" borderId="45" xfId="0" applyFont="1" applyBorder="1"/>
    <xf numFmtId="0" fontId="2" fillId="0" borderId="26" xfId="0" applyFont="1" applyBorder="1"/>
    <xf numFmtId="0" fontId="2" fillId="0" borderId="37" xfId="0" applyFont="1" applyBorder="1"/>
    <xf numFmtId="0" fontId="6" fillId="0" borderId="45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44" xfId="0" applyFont="1" applyBorder="1" applyAlignment="1">
      <alignment horizontal="left"/>
    </xf>
    <xf numFmtId="0" fontId="6" fillId="0" borderId="0" xfId="0" applyFont="1"/>
    <xf numFmtId="0" fontId="6" fillId="0" borderId="26" xfId="0" applyFont="1" applyBorder="1"/>
    <xf numFmtId="0" fontId="6" fillId="2" borderId="40" xfId="0" applyFont="1" applyFill="1" applyBorder="1" applyAlignment="1">
      <alignment horizontal="left"/>
    </xf>
    <xf numFmtId="0" fontId="6" fillId="0" borderId="11" xfId="0" applyFont="1" applyBorder="1" applyAlignment="1">
      <alignment horizontal="center"/>
    </xf>
    <xf numFmtId="14" fontId="6" fillId="0" borderId="38" xfId="0" applyNumberFormat="1" applyFont="1" applyBorder="1" applyAlignment="1">
      <alignment horizontal="left" vertical="center"/>
    </xf>
    <xf numFmtId="14" fontId="6" fillId="0" borderId="36" xfId="0" applyNumberFormat="1" applyFont="1" applyBorder="1" applyAlignment="1">
      <alignment horizontal="left" vertical="center"/>
    </xf>
    <xf numFmtId="14" fontId="6" fillId="0" borderId="10" xfId="0" applyNumberFormat="1" applyFont="1" applyBorder="1" applyAlignment="1">
      <alignment horizontal="left" vertical="center"/>
    </xf>
    <xf numFmtId="0" fontId="6" fillId="0" borderId="34" xfId="0" applyFont="1" applyBorder="1"/>
    <xf numFmtId="0" fontId="2" fillId="0" borderId="20" xfId="0" applyFont="1" applyBorder="1"/>
    <xf numFmtId="0" fontId="2" fillId="0" borderId="0" xfId="0" applyFont="1"/>
    <xf numFmtId="0" fontId="2" fillId="0" borderId="21" xfId="0" applyFont="1" applyBorder="1"/>
    <xf numFmtId="14" fontId="6" fillId="0" borderId="41" xfId="0" applyNumberFormat="1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49" fontId="6" fillId="0" borderId="41" xfId="0" applyNumberFormat="1" applyFont="1" applyBorder="1" applyAlignment="1">
      <alignment horizontal="center"/>
    </xf>
    <xf numFmtId="49" fontId="6" fillId="0" borderId="35" xfId="0" applyNumberFormat="1" applyFont="1" applyBorder="1" applyAlignment="1">
      <alignment horizontal="center"/>
    </xf>
    <xf numFmtId="0" fontId="6" fillId="0" borderId="42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41" xfId="0" applyFont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4" fontId="6" fillId="0" borderId="9" xfId="0" applyNumberFormat="1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8" fillId="2" borderId="26" xfId="0" applyFont="1" applyFill="1" applyBorder="1" applyAlignment="1">
      <alignment horizontal="left" vertical="top" wrapText="1"/>
    </xf>
    <xf numFmtId="0" fontId="8" fillId="2" borderId="37" xfId="0" applyFont="1" applyFill="1" applyBorder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8" fillId="2" borderId="21" xfId="0" applyFont="1" applyFill="1" applyBorder="1" applyAlignment="1">
      <alignment horizontal="left" vertical="top"/>
    </xf>
    <xf numFmtId="0" fontId="8" fillId="2" borderId="33" xfId="0" applyFont="1" applyFill="1" applyBorder="1" applyAlignment="1">
      <alignment horizontal="left" vertical="top"/>
    </xf>
    <xf numFmtId="0" fontId="8" fillId="2" borderId="44" xfId="0" applyFont="1" applyFill="1" applyBorder="1" applyAlignment="1">
      <alignment horizontal="left" vertical="top"/>
    </xf>
    <xf numFmtId="0" fontId="6" fillId="2" borderId="47" xfId="0" applyFont="1" applyFill="1" applyBorder="1" applyAlignment="1">
      <alignment horizontal="center"/>
    </xf>
    <xf numFmtId="0" fontId="6" fillId="2" borderId="57" xfId="0" applyFont="1" applyFill="1" applyBorder="1" applyAlignment="1">
      <alignment horizontal="center"/>
    </xf>
    <xf numFmtId="0" fontId="6" fillId="2" borderId="56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3" borderId="45" xfId="0" applyFont="1" applyFill="1" applyBorder="1"/>
    <xf numFmtId="0" fontId="6" fillId="3" borderId="26" xfId="0" applyFont="1" applyFill="1" applyBorder="1"/>
    <xf numFmtId="0" fontId="6" fillId="3" borderId="37" xfId="0" applyFont="1" applyFill="1" applyBorder="1"/>
    <xf numFmtId="0" fontId="6" fillId="3" borderId="7" xfId="0" applyFont="1" applyFill="1" applyBorder="1" applyAlignment="1">
      <alignment horizontal="left"/>
    </xf>
    <xf numFmtId="0" fontId="6" fillId="3" borderId="55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17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/>
    </xf>
    <xf numFmtId="0" fontId="6" fillId="3" borderId="13" xfId="0" applyFont="1" applyFill="1" applyBorder="1" applyAlignment="1">
      <alignment horizontal="left"/>
    </xf>
    <xf numFmtId="0" fontId="6" fillId="3" borderId="29" xfId="0" applyFont="1" applyFill="1" applyBorder="1" applyAlignment="1">
      <alignment horizontal="left"/>
    </xf>
    <xf numFmtId="0" fontId="6" fillId="3" borderId="16" xfId="0" applyFont="1" applyFill="1" applyBorder="1" applyAlignment="1">
      <alignment horizontal="left"/>
    </xf>
    <xf numFmtId="0" fontId="6" fillId="0" borderId="47" xfId="0" applyFont="1" applyBorder="1"/>
    <xf numFmtId="0" fontId="6" fillId="0" borderId="49" xfId="0" applyFont="1" applyBorder="1"/>
    <xf numFmtId="0" fontId="6" fillId="0" borderId="41" xfId="0" applyFont="1" applyBorder="1"/>
    <xf numFmtId="0" fontId="6" fillId="0" borderId="29" xfId="0" applyFont="1" applyBorder="1"/>
    <xf numFmtId="0" fontId="6" fillId="0" borderId="35" xfId="0" applyFont="1" applyBorder="1"/>
    <xf numFmtId="0" fontId="6" fillId="0" borderId="25" xfId="0" applyFont="1" applyBorder="1"/>
    <xf numFmtId="0" fontId="6" fillId="0" borderId="46" xfId="0" applyFont="1" applyBorder="1" applyAlignment="1">
      <alignment horizontal="center"/>
    </xf>
    <xf numFmtId="0" fontId="2" fillId="0" borderId="42" xfId="0" applyFont="1" applyBorder="1"/>
    <xf numFmtId="0" fontId="2" fillId="0" borderId="23" xfId="0" applyFont="1" applyBorder="1"/>
    <xf numFmtId="0" fontId="2" fillId="0" borderId="15" xfId="0" applyFont="1" applyBorder="1"/>
    <xf numFmtId="0" fontId="6" fillId="0" borderId="54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2" borderId="34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0" borderId="42" xfId="0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6" fillId="0" borderId="32" xfId="0" applyFont="1" applyBorder="1" applyAlignment="1">
      <alignment horizontal="left"/>
    </xf>
    <xf numFmtId="0" fontId="6" fillId="2" borderId="52" xfId="0" applyFont="1" applyFill="1" applyBorder="1"/>
    <xf numFmtId="14" fontId="6" fillId="0" borderId="38" xfId="0" applyNumberFormat="1" applyFont="1" applyBorder="1" applyAlignment="1">
      <alignment horizontal="left"/>
    </xf>
    <xf numFmtId="14" fontId="6" fillId="0" borderId="36" xfId="0" applyNumberFormat="1" applyFont="1" applyBorder="1" applyAlignment="1">
      <alignment horizontal="left"/>
    </xf>
    <xf numFmtId="14" fontId="6" fillId="0" borderId="10" xfId="0" applyNumberFormat="1" applyFont="1" applyBorder="1" applyAlignment="1">
      <alignment horizontal="left"/>
    </xf>
    <xf numFmtId="6" fontId="6" fillId="0" borderId="41" xfId="0" applyNumberFormat="1" applyFont="1" applyBorder="1" applyAlignment="1">
      <alignment horizontal="center"/>
    </xf>
    <xf numFmtId="167" fontId="6" fillId="0" borderId="55" xfId="1" applyNumberFormat="1" applyFont="1" applyFill="1" applyBorder="1" applyAlignment="1">
      <alignment horizontal="right" vertical="top"/>
    </xf>
    <xf numFmtId="167" fontId="6" fillId="0" borderId="8" xfId="1" applyNumberFormat="1" applyFont="1" applyFill="1" applyBorder="1" applyAlignment="1">
      <alignment horizontal="right" vertical="top"/>
    </xf>
    <xf numFmtId="164" fontId="6" fillId="0" borderId="48" xfId="1" applyNumberFormat="1" applyFont="1" applyFill="1" applyBorder="1"/>
    <xf numFmtId="164" fontId="6" fillId="0" borderId="46" xfId="1" applyNumberFormat="1" applyFont="1" applyFill="1" applyBorder="1"/>
    <xf numFmtId="9" fontId="6" fillId="0" borderId="46" xfId="2" applyFont="1" applyFill="1" applyBorder="1"/>
    <xf numFmtId="167" fontId="6" fillId="0" borderId="60" xfId="1" applyNumberFormat="1" applyFont="1" applyFill="1" applyBorder="1" applyAlignment="1">
      <alignment horizontal="right"/>
    </xf>
    <xf numFmtId="0" fontId="6" fillId="0" borderId="42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left"/>
    </xf>
    <xf numFmtId="0" fontId="6" fillId="0" borderId="15" xfId="0" applyFont="1" applyFill="1" applyBorder="1" applyAlignment="1">
      <alignment horizontal="left"/>
    </xf>
    <xf numFmtId="0" fontId="6" fillId="0" borderId="41" xfId="0" applyFont="1" applyFill="1" applyBorder="1" applyAlignment="1">
      <alignment horizontal="left"/>
    </xf>
    <xf numFmtId="0" fontId="6" fillId="0" borderId="29" xfId="0" applyFont="1" applyFill="1" applyBorder="1" applyAlignment="1">
      <alignment horizontal="left"/>
    </xf>
    <xf numFmtId="0" fontId="6" fillId="0" borderId="16" xfId="0" applyFont="1" applyFill="1" applyBorder="1" applyAlignment="1">
      <alignment horizontal="left"/>
    </xf>
    <xf numFmtId="0" fontId="6" fillId="0" borderId="38" xfId="0" applyFont="1" applyFill="1" applyBorder="1" applyAlignment="1">
      <alignment horizontal="left"/>
    </xf>
    <xf numFmtId="0" fontId="6" fillId="0" borderId="36" xfId="0" applyFont="1" applyFill="1" applyBorder="1" applyAlignment="1">
      <alignment horizontal="left"/>
    </xf>
    <xf numFmtId="0" fontId="6" fillId="0" borderId="10" xfId="0" applyFont="1" applyFill="1" applyBorder="1" applyAlignment="1">
      <alignment horizontal="left"/>
    </xf>
    <xf numFmtId="0" fontId="6" fillId="0" borderId="12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vertical="top"/>
    </xf>
    <xf numFmtId="0" fontId="6" fillId="0" borderId="11" xfId="0" applyFont="1" applyFill="1" applyBorder="1" applyAlignment="1">
      <alignment vertical="top"/>
    </xf>
    <xf numFmtId="0" fontId="6" fillId="0" borderId="27" xfId="0" applyFont="1" applyFill="1" applyBorder="1" applyAlignment="1">
      <alignment vertical="top"/>
    </xf>
    <xf numFmtId="0" fontId="6" fillId="0" borderId="48" xfId="0" applyFont="1" applyFill="1" applyBorder="1" applyAlignment="1">
      <alignment vertical="top"/>
    </xf>
    <xf numFmtId="0" fontId="6" fillId="0" borderId="41" xfId="0" applyFont="1" applyFill="1" applyBorder="1" applyAlignment="1">
      <alignment vertical="top"/>
    </xf>
    <xf numFmtId="0" fontId="6" fillId="0" borderId="29" xfId="0" applyFont="1" applyFill="1" applyBorder="1" applyAlignment="1">
      <alignment vertical="top"/>
    </xf>
    <xf numFmtId="0" fontId="6" fillId="0" borderId="35" xfId="0" applyFont="1" applyFill="1" applyBorder="1" applyAlignment="1">
      <alignment vertical="top"/>
    </xf>
    <xf numFmtId="0" fontId="6" fillId="0" borderId="7" xfId="0" applyFont="1" applyFill="1" applyBorder="1" applyAlignment="1">
      <alignment vertical="top"/>
    </xf>
    <xf numFmtId="0" fontId="6" fillId="0" borderId="43" xfId="0" applyFont="1" applyFill="1" applyBorder="1" applyAlignment="1">
      <alignment vertical="top"/>
    </xf>
    <xf numFmtId="0" fontId="6" fillId="0" borderId="33" xfId="0" applyFont="1" applyFill="1" applyBorder="1" applyAlignment="1">
      <alignment vertical="top"/>
    </xf>
    <xf numFmtId="0" fontId="6" fillId="0" borderId="59" xfId="0" applyFont="1" applyFill="1" applyBorder="1" applyAlignment="1">
      <alignment vertical="top"/>
    </xf>
    <xf numFmtId="0" fontId="6" fillId="0" borderId="3" xfId="0" applyFont="1" applyFill="1" applyBorder="1"/>
    <xf numFmtId="0" fontId="6" fillId="0" borderId="11" xfId="0" applyFont="1" applyFill="1" applyBorder="1"/>
    <xf numFmtId="0" fontId="6" fillId="0" borderId="27" xfId="0" applyFont="1" applyFill="1" applyBorder="1"/>
    <xf numFmtId="0" fontId="6" fillId="0" borderId="48" xfId="0" applyFont="1" applyFill="1" applyBorder="1"/>
    <xf numFmtId="0" fontId="6" fillId="0" borderId="5" xfId="0" applyFont="1" applyFill="1" applyBorder="1"/>
    <xf numFmtId="0" fontId="6" fillId="0" borderId="32" xfId="0" applyFont="1" applyFill="1" applyBorder="1"/>
    <xf numFmtId="0" fontId="6" fillId="0" borderId="24" xfId="0" applyFont="1" applyFill="1" applyBorder="1"/>
    <xf numFmtId="0" fontId="6" fillId="0" borderId="50" xfId="0" applyFont="1" applyFill="1" applyBorder="1"/>
    <xf numFmtId="0" fontId="6" fillId="0" borderId="11" xfId="0" applyFont="1" applyFill="1" applyBorder="1"/>
    <xf numFmtId="167" fontId="6" fillId="0" borderId="11" xfId="0" applyNumberFormat="1" applyFont="1" applyFill="1" applyBorder="1" applyAlignment="1">
      <alignment horizontal="right"/>
    </xf>
    <xf numFmtId="0" fontId="6" fillId="0" borderId="48" xfId="0" applyFont="1" applyFill="1" applyBorder="1"/>
    <xf numFmtId="167" fontId="6" fillId="0" borderId="48" xfId="0" applyNumberFormat="1" applyFont="1" applyFill="1" applyBorder="1" applyAlignment="1">
      <alignment horizontal="right"/>
    </xf>
    <xf numFmtId="0" fontId="6" fillId="0" borderId="41" xfId="0" applyFont="1" applyFill="1" applyBorder="1"/>
    <xf numFmtId="0" fontId="6" fillId="0" borderId="35" xfId="0" applyFont="1" applyFill="1" applyBorder="1"/>
    <xf numFmtId="0" fontId="6" fillId="0" borderId="31" xfId="0" applyFont="1" applyFill="1" applyBorder="1"/>
    <xf numFmtId="0" fontId="6" fillId="0" borderId="46" xfId="0" applyFont="1" applyFill="1" applyBorder="1"/>
    <xf numFmtId="0" fontId="6" fillId="0" borderId="46" xfId="0" applyFont="1" applyFill="1" applyBorder="1"/>
    <xf numFmtId="167" fontId="6" fillId="0" borderId="46" xfId="0" applyNumberFormat="1" applyFont="1" applyFill="1" applyBorder="1" applyAlignment="1">
      <alignment horizontal="right"/>
    </xf>
    <xf numFmtId="0" fontId="6" fillId="0" borderId="11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50" xfId="0" applyFont="1" applyFill="1" applyBorder="1" applyAlignment="1">
      <alignment horizontal="center"/>
    </xf>
    <xf numFmtId="167" fontId="6" fillId="0" borderId="17" xfId="0" applyNumberFormat="1" applyFont="1" applyFill="1" applyBorder="1" applyAlignment="1">
      <alignment horizontal="right"/>
    </xf>
    <xf numFmtId="0" fontId="6" fillId="0" borderId="19" xfId="0" applyFont="1" applyFill="1" applyBorder="1" applyAlignment="1">
      <alignment horizontal="center"/>
    </xf>
    <xf numFmtId="0" fontId="6" fillId="0" borderId="34" xfId="0" applyFont="1" applyFill="1" applyBorder="1" applyAlignment="1">
      <alignment horizontal="center"/>
    </xf>
    <xf numFmtId="0" fontId="2" fillId="0" borderId="43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44" xfId="0" applyFont="1" applyFill="1" applyBorder="1" applyAlignme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6"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809049</xdr:colOff>
      <xdr:row>11</xdr:row>
      <xdr:rowOff>93951</xdr:rowOff>
    </xdr:from>
    <xdr:to>
      <xdr:col>2</xdr:col>
      <xdr:colOff>454026</xdr:colOff>
      <xdr:row>13</xdr:row>
      <xdr:rowOff>33337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6674" y="17767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43</xdr:row>
      <xdr:rowOff>52231</xdr:rowOff>
    </xdr:from>
    <xdr:to>
      <xdr:col>11</xdr:col>
      <xdr:colOff>4330</xdr:colOff>
      <xdr:row>44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439390" y="8600412"/>
          <a:ext cx="1114259" cy="27469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33</xdr:row>
      <xdr:rowOff>56284</xdr:rowOff>
    </xdr:from>
    <xdr:to>
      <xdr:col>11</xdr:col>
      <xdr:colOff>4330</xdr:colOff>
      <xdr:row>34</xdr:row>
      <xdr:rowOff>168852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33955" y="629948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836469</xdr:colOff>
      <xdr:row>23</xdr:row>
      <xdr:rowOff>57149</xdr:rowOff>
    </xdr:from>
    <xdr:to>
      <xdr:col>11</xdr:col>
      <xdr:colOff>5196</xdr:colOff>
      <xdr:row>24</xdr:row>
      <xdr:rowOff>169717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434821" y="434772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831274</xdr:colOff>
      <xdr:row>13</xdr:row>
      <xdr:rowOff>52676</xdr:rowOff>
    </xdr:from>
    <xdr:to>
      <xdr:col>11</xdr:col>
      <xdr:colOff>1</xdr:colOff>
      <xdr:row>14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27462" y="20688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650876</xdr:colOff>
      <xdr:row>56</xdr:row>
      <xdr:rowOff>71438</xdr:rowOff>
    </xdr:from>
    <xdr:to>
      <xdr:col>6</xdr:col>
      <xdr:colOff>849313</xdr:colOff>
      <xdr:row>59</xdr:row>
      <xdr:rowOff>55563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02064" y="11326813"/>
          <a:ext cx="2095499" cy="4603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13</xdr:row>
          <xdr:rowOff>104775</xdr:rowOff>
        </xdr:from>
        <xdr:to>
          <xdr:col>10</xdr:col>
          <xdr:colOff>942975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57</xdr:row>
          <xdr:rowOff>9525</xdr:rowOff>
        </xdr:from>
        <xdr:to>
          <xdr:col>6</xdr:col>
          <xdr:colOff>762000</xdr:colOff>
          <xdr:row>58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Assessment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23</xdr:row>
          <xdr:rowOff>104775</xdr:rowOff>
        </xdr:from>
        <xdr:to>
          <xdr:col>10</xdr:col>
          <xdr:colOff>942975</xdr:colOff>
          <xdr:row>24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33</xdr:row>
          <xdr:rowOff>104775</xdr:rowOff>
        </xdr:from>
        <xdr:to>
          <xdr:col>10</xdr:col>
          <xdr:colOff>942975</xdr:colOff>
          <xdr:row>34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43</xdr:row>
          <xdr:rowOff>104775</xdr:rowOff>
        </xdr:from>
        <xdr:to>
          <xdr:col>10</xdr:col>
          <xdr:colOff>942975</xdr:colOff>
          <xdr:row>44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11</xdr:row>
          <xdr:rowOff>142875</xdr:rowOff>
        </xdr:from>
        <xdr:to>
          <xdr:col>2</xdr:col>
          <xdr:colOff>419100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Total Loss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599202</xdr:colOff>
      <xdr:row>11</xdr:row>
      <xdr:rowOff>94816</xdr:rowOff>
    </xdr:from>
    <xdr:to>
      <xdr:col>4</xdr:col>
      <xdr:colOff>61616</xdr:colOff>
      <xdr:row>13</xdr:row>
      <xdr:rowOff>34202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05884" y="1779009"/>
          <a:ext cx="1107641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11</xdr:row>
          <xdr:rowOff>142875</xdr:rowOff>
        </xdr:from>
        <xdr:to>
          <xdr:col>4</xdr:col>
          <xdr:colOff>28575</xdr:colOff>
          <xdr:row>12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Supplementary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95249</xdr:colOff>
      <xdr:row>39</xdr:row>
      <xdr:rowOff>23814</xdr:rowOff>
    </xdr:from>
    <xdr:to>
      <xdr:col>3</xdr:col>
      <xdr:colOff>215532</xdr:colOff>
      <xdr:row>42</xdr:row>
      <xdr:rowOff>15266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4449" y="7262814"/>
          <a:ext cx="729883" cy="56295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39</xdr:row>
          <xdr:rowOff>123825</xdr:rowOff>
        </xdr:from>
        <xdr:to>
          <xdr:col>3</xdr:col>
          <xdr:colOff>123825</xdr:colOff>
          <xdr:row>41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Total Loss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714375</xdr:colOff>
      <xdr:row>54</xdr:row>
      <xdr:rowOff>0</xdr:rowOff>
    </xdr:from>
    <xdr:to>
      <xdr:col>6</xdr:col>
      <xdr:colOff>906096</xdr:colOff>
      <xdr:row>56</xdr:row>
      <xdr:rowOff>150202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65563" y="10255250"/>
          <a:ext cx="2088783" cy="46770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54</xdr:row>
          <xdr:rowOff>104775</xdr:rowOff>
        </xdr:from>
        <xdr:to>
          <xdr:col>6</xdr:col>
          <xdr:colOff>828675</xdr:colOff>
          <xdr:row>56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Supplementary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12</xdr:row>
      <xdr:rowOff>45983</xdr:rowOff>
    </xdr:from>
    <xdr:to>
      <xdr:col>11</xdr:col>
      <xdr:colOff>12427</xdr:colOff>
      <xdr:row>13</xdr:row>
      <xdr:rowOff>156505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47689" y="1905000"/>
          <a:ext cx="1109445" cy="27474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904875</xdr:colOff>
          <xdr:row>12</xdr:row>
          <xdr:rowOff>85725</xdr:rowOff>
        </xdr:from>
        <xdr:to>
          <xdr:col>10</xdr:col>
          <xdr:colOff>952500</xdr:colOff>
          <xdr:row>13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21</xdr:row>
      <xdr:rowOff>45983</xdr:rowOff>
    </xdr:from>
    <xdr:to>
      <xdr:col>11</xdr:col>
      <xdr:colOff>12427</xdr:colOff>
      <xdr:row>22</xdr:row>
      <xdr:rowOff>155061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47689" y="4539155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21</xdr:row>
          <xdr:rowOff>85725</xdr:rowOff>
        </xdr:from>
        <xdr:to>
          <xdr:col>10</xdr:col>
          <xdr:colOff>952500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847397</xdr:colOff>
      <xdr:row>32</xdr:row>
      <xdr:rowOff>52552</xdr:rowOff>
    </xdr:from>
    <xdr:to>
      <xdr:col>11</xdr:col>
      <xdr:colOff>12428</xdr:colOff>
      <xdr:row>33</xdr:row>
      <xdr:rowOff>161631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447690" y="6851431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32</xdr:row>
          <xdr:rowOff>104775</xdr:rowOff>
        </xdr:from>
        <xdr:to>
          <xdr:col>10</xdr:col>
          <xdr:colOff>952500</xdr:colOff>
          <xdr:row>33</xdr:row>
          <xdr:rowOff>123825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840828</xdr:colOff>
      <xdr:row>41</xdr:row>
      <xdr:rowOff>39413</xdr:rowOff>
    </xdr:from>
    <xdr:to>
      <xdr:col>11</xdr:col>
      <xdr:colOff>5859</xdr:colOff>
      <xdr:row>42</xdr:row>
      <xdr:rowOff>148492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441121" y="9636672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41</xdr:row>
          <xdr:rowOff>85725</xdr:rowOff>
        </xdr:from>
        <xdr:to>
          <xdr:col>10</xdr:col>
          <xdr:colOff>942975</xdr:colOff>
          <xdr:row>42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835603</xdr:colOff>
      <xdr:row>41</xdr:row>
      <xdr:rowOff>52231</xdr:rowOff>
    </xdr:from>
    <xdr:to>
      <xdr:col>11</xdr:col>
      <xdr:colOff>4330</xdr:colOff>
      <xdr:row>42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436553" y="7472206"/>
          <a:ext cx="1111827" cy="2840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41</xdr:row>
          <xdr:rowOff>104775</xdr:rowOff>
        </xdr:from>
        <xdr:to>
          <xdr:col>10</xdr:col>
          <xdr:colOff>942975</xdr:colOff>
          <xdr:row>42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35BE6-C502-4293-9896-1FCA7073E507}" name="Table1" displayName="Table1" ref="A1:B3" totalsRowShown="0">
  <autoFilter ref="A1:B3" xr:uid="{EBFC1745-6A29-4B24-A422-133421504AB6}"/>
  <tableColumns count="2">
    <tableColumn id="1" xr3:uid="{6871217B-0982-4639-A4A0-8FAE07616D83}" name="Name"/>
    <tableColumn id="2" xr3:uid="{A12176D7-0F60-4EAF-BCA8-8B78D958C79E}" name="Valu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K90"/>
  <sheetViews>
    <sheetView showGridLines="0" tabSelected="1" topLeftCell="A31" zoomScale="110" zoomScaleNormal="110" workbookViewId="0">
      <selection activeCell="C61" sqref="C61:D61"/>
    </sheetView>
  </sheetViews>
  <sheetFormatPr defaultColWidth="9.140625" defaultRowHeight="12.75" x14ac:dyDescent="0.2"/>
  <cols>
    <col min="1" max="1" width="0.5703125" style="4" customWidth="1"/>
    <col min="2" max="2" width="21.85546875" style="4" customWidth="1"/>
    <col min="3" max="3" width="11.5703125" style="4" customWidth="1"/>
    <col min="4" max="4" width="13" style="4" customWidth="1"/>
    <col min="5" max="5" width="14" style="4" customWidth="1"/>
    <col min="6" max="6" width="14.42578125" style="4" customWidth="1"/>
    <col min="7" max="7" width="13.85546875" style="4" customWidth="1"/>
    <col min="8" max="8" width="9.85546875" style="4" customWidth="1"/>
    <col min="9" max="10" width="14.5703125" style="4" customWidth="1"/>
    <col min="11" max="11" width="14.5703125" style="14" customWidth="1"/>
    <col min="12" max="12" width="12.5703125" style="4" customWidth="1"/>
    <col min="13" max="16384" width="9.140625" style="4"/>
  </cols>
  <sheetData>
    <row r="1" spans="2:11" ht="2.25" customHeight="1" thickBot="1" x14ac:dyDescent="0.25"/>
    <row r="2" spans="2:11" x14ac:dyDescent="0.2">
      <c r="B2" s="5" t="s">
        <v>74</v>
      </c>
      <c r="C2" s="220" t="s">
        <v>271</v>
      </c>
      <c r="D2" s="221"/>
      <c r="E2" s="222"/>
      <c r="G2" s="15" t="s">
        <v>0</v>
      </c>
      <c r="H2" s="229" t="s">
        <v>272</v>
      </c>
      <c r="I2" s="230"/>
      <c r="J2" s="230"/>
      <c r="K2" s="231"/>
    </row>
    <row r="3" spans="2:11" x14ac:dyDescent="0.2">
      <c r="B3" s="7" t="s">
        <v>80</v>
      </c>
      <c r="C3" s="223">
        <v>2001</v>
      </c>
      <c r="D3" s="224"/>
      <c r="E3" s="225"/>
      <c r="G3" s="13" t="s">
        <v>77</v>
      </c>
      <c r="H3" s="156"/>
      <c r="I3" s="157"/>
      <c r="J3" s="157"/>
      <c r="K3" s="158"/>
    </row>
    <row r="4" spans="2:11" ht="13.5" thickBot="1" x14ac:dyDescent="0.25">
      <c r="B4" s="8" t="s">
        <v>75</v>
      </c>
      <c r="C4" s="223" t="s">
        <v>273</v>
      </c>
      <c r="D4" s="224"/>
      <c r="E4" s="225"/>
      <c r="G4" s="16" t="s">
        <v>79</v>
      </c>
      <c r="H4" s="159"/>
      <c r="I4" s="160"/>
      <c r="J4" s="160"/>
      <c r="K4" s="161"/>
    </row>
    <row r="5" spans="2:11" ht="13.5" thickBot="1" x14ac:dyDescent="0.25">
      <c r="B5" s="8" t="s">
        <v>76</v>
      </c>
      <c r="C5" s="223" t="s">
        <v>274</v>
      </c>
      <c r="D5" s="224"/>
      <c r="E5" s="225"/>
    </row>
    <row r="6" spans="2:11" x14ac:dyDescent="0.2">
      <c r="B6" s="9" t="s">
        <v>1</v>
      </c>
      <c r="C6" s="223" t="s">
        <v>275</v>
      </c>
      <c r="D6" s="224"/>
      <c r="E6" s="225"/>
      <c r="G6" s="5" t="s">
        <v>226</v>
      </c>
      <c r="H6" s="162" t="s">
        <v>277</v>
      </c>
      <c r="I6" s="163"/>
      <c r="J6" s="17"/>
      <c r="K6" s="18"/>
    </row>
    <row r="7" spans="2:11" x14ac:dyDescent="0.2">
      <c r="B7" s="8" t="s">
        <v>102</v>
      </c>
      <c r="C7" s="155" t="s">
        <v>276</v>
      </c>
      <c r="D7" s="122"/>
      <c r="E7" s="123"/>
      <c r="G7" s="8" t="s">
        <v>205</v>
      </c>
      <c r="H7" s="147">
        <v>45722</v>
      </c>
      <c r="I7" s="148"/>
      <c r="K7" s="19"/>
    </row>
    <row r="8" spans="2:11" ht="13.5" thickBot="1" x14ac:dyDescent="0.25">
      <c r="B8" s="11" t="s">
        <v>103</v>
      </c>
      <c r="C8" s="226" t="s">
        <v>108</v>
      </c>
      <c r="D8" s="227"/>
      <c r="E8" s="228"/>
      <c r="G8" s="8" t="s">
        <v>206</v>
      </c>
      <c r="H8" s="149" t="s">
        <v>278</v>
      </c>
      <c r="I8" s="148"/>
      <c r="K8" s="19"/>
    </row>
    <row r="9" spans="2:11" ht="13.5" thickBot="1" x14ac:dyDescent="0.25">
      <c r="C9" s="164"/>
      <c r="D9" s="164"/>
      <c r="E9" s="164"/>
      <c r="G9" s="8" t="s">
        <v>228</v>
      </c>
      <c r="H9" s="213">
        <v>1200</v>
      </c>
      <c r="I9" s="148"/>
      <c r="K9" s="19"/>
    </row>
    <row r="10" spans="2:11" ht="12.75" customHeight="1" x14ac:dyDescent="0.2">
      <c r="B10" s="15" t="s">
        <v>78</v>
      </c>
      <c r="C10" s="220" t="s">
        <v>82</v>
      </c>
      <c r="D10" s="221"/>
      <c r="E10" s="222"/>
      <c r="G10" s="8" t="s">
        <v>207</v>
      </c>
      <c r="H10" s="150" t="s">
        <v>279</v>
      </c>
      <c r="I10" s="151"/>
      <c r="K10" s="19"/>
    </row>
    <row r="11" spans="2:11" ht="12.75" customHeight="1" thickBot="1" x14ac:dyDescent="0.25">
      <c r="B11" s="20" t="s">
        <v>227</v>
      </c>
      <c r="C11" s="226" t="s">
        <v>82</v>
      </c>
      <c r="D11" s="227"/>
      <c r="E11" s="228"/>
      <c r="G11" s="8" t="s">
        <v>208</v>
      </c>
      <c r="H11" s="21" t="s">
        <v>209</v>
      </c>
      <c r="I11" s="21" t="s">
        <v>210</v>
      </c>
      <c r="J11" s="21" t="s">
        <v>211</v>
      </c>
      <c r="K11" s="22" t="s">
        <v>212</v>
      </c>
    </row>
    <row r="12" spans="2:11" x14ac:dyDescent="0.2">
      <c r="G12" s="8" t="s">
        <v>213</v>
      </c>
      <c r="H12" s="21"/>
      <c r="I12" s="21" t="s">
        <v>214</v>
      </c>
      <c r="J12" s="21" t="s">
        <v>215</v>
      </c>
      <c r="K12" s="22" t="s">
        <v>216</v>
      </c>
    </row>
    <row r="13" spans="2:11" ht="13.5" thickBot="1" x14ac:dyDescent="0.25">
      <c r="C13" s="6"/>
      <c r="D13" s="6"/>
      <c r="E13" s="6"/>
      <c r="G13" s="10" t="s">
        <v>43</v>
      </c>
      <c r="H13" s="23"/>
      <c r="I13" s="23" t="s">
        <v>217</v>
      </c>
      <c r="J13" s="23"/>
      <c r="K13" s="24"/>
    </row>
    <row r="14" spans="2:11" x14ac:dyDescent="0.2">
      <c r="K14" s="25"/>
    </row>
    <row r="15" spans="2:11" ht="13.5" thickBot="1" x14ac:dyDescent="0.25">
      <c r="B15" s="26" t="s">
        <v>89</v>
      </c>
    </row>
    <row r="16" spans="2:11" ht="25.5" x14ac:dyDescent="0.2">
      <c r="B16" s="5" t="s">
        <v>84</v>
      </c>
      <c r="C16" s="114" t="s">
        <v>85</v>
      </c>
      <c r="D16" s="114"/>
      <c r="E16" s="114"/>
      <c r="F16" s="114"/>
      <c r="G16" s="114"/>
      <c r="H16" s="114"/>
      <c r="I16" s="114"/>
      <c r="J16" s="27" t="s">
        <v>98</v>
      </c>
      <c r="K16" s="28" t="s">
        <v>99</v>
      </c>
    </row>
    <row r="17" spans="2:11" x14ac:dyDescent="0.2">
      <c r="B17" s="232" t="s">
        <v>5</v>
      </c>
      <c r="C17" s="233" t="s">
        <v>280</v>
      </c>
      <c r="D17" s="233"/>
      <c r="E17" s="233"/>
      <c r="F17" s="233"/>
      <c r="G17" s="233"/>
      <c r="H17" s="233"/>
      <c r="I17" s="233"/>
      <c r="J17" s="84">
        <v>270</v>
      </c>
      <c r="K17" s="85">
        <f t="shared" ref="K17:K22" si="0">J17</f>
        <v>270</v>
      </c>
    </row>
    <row r="18" spans="2:11" x14ac:dyDescent="0.2">
      <c r="B18" s="232" t="s">
        <v>5</v>
      </c>
      <c r="C18" s="233" t="s">
        <v>281</v>
      </c>
      <c r="D18" s="233"/>
      <c r="E18" s="233"/>
      <c r="F18" s="233"/>
      <c r="G18" s="233"/>
      <c r="H18" s="233"/>
      <c r="I18" s="233"/>
      <c r="J18" s="84" t="s">
        <v>229</v>
      </c>
      <c r="K18" s="85" t="str">
        <f t="shared" si="0"/>
        <v>Inc</v>
      </c>
    </row>
    <row r="19" spans="2:11" x14ac:dyDescent="0.2">
      <c r="B19" s="232" t="s">
        <v>5</v>
      </c>
      <c r="C19" s="233" t="s">
        <v>282</v>
      </c>
      <c r="D19" s="233"/>
      <c r="E19" s="233"/>
      <c r="F19" s="233"/>
      <c r="G19" s="233"/>
      <c r="H19" s="233"/>
      <c r="I19" s="233"/>
      <c r="J19" s="84" t="s">
        <v>229</v>
      </c>
      <c r="K19" s="85" t="str">
        <f t="shared" si="0"/>
        <v>Inc</v>
      </c>
    </row>
    <row r="20" spans="2:11" x14ac:dyDescent="0.2">
      <c r="B20" s="234" t="s">
        <v>5</v>
      </c>
      <c r="C20" s="235" t="s">
        <v>283</v>
      </c>
      <c r="D20" s="235"/>
      <c r="E20" s="235"/>
      <c r="F20" s="235"/>
      <c r="G20" s="235"/>
      <c r="H20" s="235"/>
      <c r="I20" s="235"/>
      <c r="J20" s="86" t="s">
        <v>229</v>
      </c>
      <c r="K20" s="99" t="str">
        <f t="shared" si="0"/>
        <v>Inc</v>
      </c>
    </row>
    <row r="21" spans="2:11" x14ac:dyDescent="0.2">
      <c r="B21" s="232" t="s">
        <v>5</v>
      </c>
      <c r="C21" s="236" t="s">
        <v>284</v>
      </c>
      <c r="D21" s="237"/>
      <c r="E21" s="237"/>
      <c r="F21" s="237"/>
      <c r="G21" s="237"/>
      <c r="H21" s="237"/>
      <c r="I21" s="238"/>
      <c r="J21" s="84" t="s">
        <v>229</v>
      </c>
      <c r="K21" s="85" t="str">
        <f t="shared" ref="K21" si="1">J21</f>
        <v>Inc</v>
      </c>
    </row>
    <row r="22" spans="2:11" x14ac:dyDescent="0.2">
      <c r="B22" s="239" t="s">
        <v>6</v>
      </c>
      <c r="C22" s="240" t="s">
        <v>285</v>
      </c>
      <c r="D22" s="241"/>
      <c r="E22" s="241"/>
      <c r="F22" s="241"/>
      <c r="G22" s="241"/>
      <c r="H22" s="241"/>
      <c r="I22" s="242"/>
      <c r="J22" s="214">
        <v>60</v>
      </c>
      <c r="K22" s="215">
        <v>60</v>
      </c>
    </row>
    <row r="23" spans="2:11" x14ac:dyDescent="0.2">
      <c r="G23" s="4" t="s">
        <v>91</v>
      </c>
      <c r="H23" s="29"/>
      <c r="J23" s="79">
        <f>SUM(J17:J22)</f>
        <v>330</v>
      </c>
      <c r="K23" s="80">
        <f>SUM(K17:K22)</f>
        <v>330</v>
      </c>
    </row>
    <row r="24" spans="2:11" x14ac:dyDescent="0.2">
      <c r="H24" s="29"/>
      <c r="J24" s="30"/>
    </row>
    <row r="25" spans="2:11" ht="13.5" thickBot="1" x14ac:dyDescent="0.25">
      <c r="B25" s="26" t="s">
        <v>90</v>
      </c>
    </row>
    <row r="26" spans="2:11" ht="25.5" x14ac:dyDescent="0.2">
      <c r="B26" s="5" t="s">
        <v>84</v>
      </c>
      <c r="C26" s="114" t="s">
        <v>85</v>
      </c>
      <c r="D26" s="114"/>
      <c r="E26" s="114"/>
      <c r="F26" s="114"/>
      <c r="G26" s="114"/>
      <c r="H26" s="114"/>
      <c r="I26" s="114"/>
      <c r="J26" s="27" t="s">
        <v>100</v>
      </c>
      <c r="K26" s="28" t="s">
        <v>99</v>
      </c>
    </row>
    <row r="27" spans="2:11" x14ac:dyDescent="0.2">
      <c r="B27" s="243" t="s">
        <v>11</v>
      </c>
      <c r="C27" s="244" t="s">
        <v>284</v>
      </c>
      <c r="D27" s="244"/>
      <c r="E27" s="244"/>
      <c r="F27" s="244"/>
      <c r="G27" s="244"/>
      <c r="H27" s="244"/>
      <c r="I27" s="244"/>
      <c r="J27" s="95">
        <v>550</v>
      </c>
      <c r="K27" s="90">
        <f t="shared" ref="K27:K30" si="2">J27</f>
        <v>550</v>
      </c>
    </row>
    <row r="28" spans="2:11" x14ac:dyDescent="0.2">
      <c r="B28" s="243" t="s">
        <v>11</v>
      </c>
      <c r="C28" s="244" t="s">
        <v>280</v>
      </c>
      <c r="D28" s="244"/>
      <c r="E28" s="244"/>
      <c r="F28" s="244"/>
      <c r="G28" s="244"/>
      <c r="H28" s="244"/>
      <c r="I28" s="244"/>
      <c r="J28" s="95" t="s">
        <v>229</v>
      </c>
      <c r="K28" s="90" t="str">
        <f t="shared" si="2"/>
        <v>Inc</v>
      </c>
    </row>
    <row r="29" spans="2:11" x14ac:dyDescent="0.2">
      <c r="B29" s="243" t="s">
        <v>11</v>
      </c>
      <c r="C29" s="244" t="s">
        <v>286</v>
      </c>
      <c r="D29" s="244"/>
      <c r="E29" s="244"/>
      <c r="F29" s="244"/>
      <c r="G29" s="244"/>
      <c r="H29" s="244"/>
      <c r="I29" s="244"/>
      <c r="J29" s="95" t="s">
        <v>229</v>
      </c>
      <c r="K29" s="90" t="str">
        <f t="shared" si="2"/>
        <v>Inc</v>
      </c>
    </row>
    <row r="30" spans="2:11" x14ac:dyDescent="0.2">
      <c r="B30" s="245"/>
      <c r="C30" s="246"/>
      <c r="D30" s="246"/>
      <c r="E30" s="246"/>
      <c r="F30" s="246"/>
      <c r="G30" s="246"/>
      <c r="H30" s="246"/>
      <c r="I30" s="246"/>
      <c r="J30" s="96"/>
      <c r="K30" s="97"/>
    </row>
    <row r="31" spans="2:11" ht="13.5" thickBot="1" x14ac:dyDescent="0.25">
      <c r="B31" s="247"/>
      <c r="C31" s="248"/>
      <c r="D31" s="249"/>
      <c r="E31" s="249"/>
      <c r="F31" s="249"/>
      <c r="G31" s="249"/>
      <c r="H31" s="249"/>
      <c r="I31" s="250"/>
      <c r="J31" s="98"/>
      <c r="K31" s="92">
        <f t="shared" ref="K31" si="3">J31</f>
        <v>0</v>
      </c>
    </row>
    <row r="32" spans="2:11" x14ac:dyDescent="0.2">
      <c r="H32" s="136" t="s">
        <v>92</v>
      </c>
      <c r="I32" s="136"/>
      <c r="J32" s="79">
        <f>SUM(J27:J31)</f>
        <v>550</v>
      </c>
      <c r="K32" s="80">
        <f>SUM(K27:K31)</f>
        <v>550</v>
      </c>
    </row>
    <row r="33" spans="2:11" x14ac:dyDescent="0.2">
      <c r="H33" s="136" t="s">
        <v>93</v>
      </c>
      <c r="I33" s="136"/>
      <c r="J33" s="79">
        <f>SUM(J32+J23)</f>
        <v>880</v>
      </c>
      <c r="K33" s="80">
        <f>SUM(K32+K23)</f>
        <v>880</v>
      </c>
    </row>
    <row r="34" spans="2:11" x14ac:dyDescent="0.2">
      <c r="F34" s="29"/>
      <c r="G34" s="30"/>
      <c r="H34" s="29"/>
    </row>
    <row r="35" spans="2:11" ht="13.5" thickBot="1" x14ac:dyDescent="0.25">
      <c r="B35" s="26" t="s">
        <v>218</v>
      </c>
    </row>
    <row r="36" spans="2:11" ht="25.5" x14ac:dyDescent="0.2">
      <c r="B36" s="5" t="s">
        <v>84</v>
      </c>
      <c r="C36" s="72" t="s">
        <v>14</v>
      </c>
      <c r="D36" s="114" t="s">
        <v>85</v>
      </c>
      <c r="E36" s="114"/>
      <c r="F36" s="72" t="s">
        <v>200</v>
      </c>
      <c r="G36" s="27" t="s">
        <v>87</v>
      </c>
      <c r="H36" s="27" t="s">
        <v>86</v>
      </c>
      <c r="I36" s="27" t="s">
        <v>88</v>
      </c>
      <c r="J36" s="27" t="s">
        <v>98</v>
      </c>
      <c r="K36" s="28" t="s">
        <v>99</v>
      </c>
    </row>
    <row r="37" spans="2:11" x14ac:dyDescent="0.2">
      <c r="B37" s="243" t="s">
        <v>17</v>
      </c>
      <c r="C37" s="251"/>
      <c r="D37" s="244" t="s">
        <v>287</v>
      </c>
      <c r="E37" s="244"/>
      <c r="F37" s="251"/>
      <c r="G37" s="34"/>
      <c r="H37" s="35"/>
      <c r="I37" s="252">
        <f>ROUND(SUM(G37*H37),2)</f>
        <v>0</v>
      </c>
      <c r="J37" s="252">
        <v>1870</v>
      </c>
      <c r="K37" s="90">
        <f t="shared" ref="K37:K42" si="4">J37</f>
        <v>1870</v>
      </c>
    </row>
    <row r="38" spans="2:11" x14ac:dyDescent="0.2">
      <c r="B38" s="243" t="s">
        <v>17</v>
      </c>
      <c r="C38" s="251"/>
      <c r="D38" s="244" t="s">
        <v>288</v>
      </c>
      <c r="E38" s="244"/>
      <c r="F38" s="251"/>
      <c r="G38" s="34"/>
      <c r="H38" s="35"/>
      <c r="I38" s="252">
        <f t="shared" ref="I38:I42" si="5">ROUND(SUM(G38*H38),2)</f>
        <v>0</v>
      </c>
      <c r="J38" s="252" t="s">
        <v>229</v>
      </c>
      <c r="K38" s="90" t="str">
        <f t="shared" si="4"/>
        <v>Inc</v>
      </c>
    </row>
    <row r="39" spans="2:11" x14ac:dyDescent="0.2">
      <c r="B39" s="243" t="s">
        <v>17</v>
      </c>
      <c r="C39" s="251"/>
      <c r="D39" s="244" t="s">
        <v>284</v>
      </c>
      <c r="E39" s="244"/>
      <c r="F39" s="251"/>
      <c r="G39" s="34"/>
      <c r="H39" s="35"/>
      <c r="I39" s="252">
        <f t="shared" si="5"/>
        <v>0</v>
      </c>
      <c r="J39" s="252" t="s">
        <v>229</v>
      </c>
      <c r="K39" s="90" t="str">
        <f t="shared" si="4"/>
        <v>Inc</v>
      </c>
    </row>
    <row r="40" spans="2:11" x14ac:dyDescent="0.2">
      <c r="B40" s="245" t="s">
        <v>17</v>
      </c>
      <c r="C40" s="253"/>
      <c r="D40" s="246" t="s">
        <v>281</v>
      </c>
      <c r="E40" s="246"/>
      <c r="F40" s="253"/>
      <c r="G40" s="216"/>
      <c r="H40" s="57"/>
      <c r="I40" s="254">
        <f t="shared" si="5"/>
        <v>0</v>
      </c>
      <c r="J40" s="254" t="s">
        <v>229</v>
      </c>
      <c r="K40" s="97" t="str">
        <f t="shared" si="4"/>
        <v>Inc</v>
      </c>
    </row>
    <row r="41" spans="2:11" x14ac:dyDescent="0.2">
      <c r="B41" s="243" t="s">
        <v>17</v>
      </c>
      <c r="C41" s="251"/>
      <c r="D41" s="255" t="s">
        <v>289</v>
      </c>
      <c r="E41" s="256"/>
      <c r="F41" s="251"/>
      <c r="G41" s="34"/>
      <c r="H41" s="35"/>
      <c r="I41" s="252">
        <f t="shared" ref="I41" si="6">ROUND(SUM(G41*H41),2)</f>
        <v>0</v>
      </c>
      <c r="J41" s="252" t="s">
        <v>229</v>
      </c>
      <c r="K41" s="90" t="str">
        <f t="shared" ref="K41" si="7">J41</f>
        <v>Inc</v>
      </c>
    </row>
    <row r="42" spans="2:11" ht="13.5" thickBot="1" x14ac:dyDescent="0.25">
      <c r="B42" s="257" t="s">
        <v>17</v>
      </c>
      <c r="C42" s="258"/>
      <c r="D42" s="259" t="s">
        <v>290</v>
      </c>
      <c r="E42" s="259"/>
      <c r="F42" s="258"/>
      <c r="G42" s="217"/>
      <c r="H42" s="218"/>
      <c r="I42" s="260">
        <f t="shared" si="5"/>
        <v>0</v>
      </c>
      <c r="J42" s="260" t="s">
        <v>229</v>
      </c>
      <c r="K42" s="219" t="s">
        <v>229</v>
      </c>
    </row>
    <row r="43" spans="2:11" x14ac:dyDescent="0.2">
      <c r="I43" s="4" t="s">
        <v>92</v>
      </c>
      <c r="J43" s="79">
        <f>SUM(J37:J42)</f>
        <v>1870</v>
      </c>
      <c r="K43" s="80">
        <f>SUM(K37:K42)</f>
        <v>1870</v>
      </c>
    </row>
    <row r="45" spans="2:11" ht="13.5" thickBot="1" x14ac:dyDescent="0.25">
      <c r="B45" s="26" t="s">
        <v>219</v>
      </c>
      <c r="K45" s="56"/>
    </row>
    <row r="46" spans="2:11" ht="25.5" x14ac:dyDescent="0.2">
      <c r="B46" s="5" t="s">
        <v>83</v>
      </c>
      <c r="C46" s="114" t="s">
        <v>84</v>
      </c>
      <c r="D46" s="114"/>
      <c r="E46" s="114" t="s">
        <v>85</v>
      </c>
      <c r="F46" s="114"/>
      <c r="G46" s="114"/>
      <c r="H46" s="138" t="s">
        <v>0</v>
      </c>
      <c r="I46" s="138"/>
      <c r="J46" s="27" t="s">
        <v>98</v>
      </c>
      <c r="K46" s="28" t="s">
        <v>99</v>
      </c>
    </row>
    <row r="47" spans="2:11" x14ac:dyDescent="0.2">
      <c r="B47" s="243" t="s">
        <v>24</v>
      </c>
      <c r="C47" s="244" t="s">
        <v>12</v>
      </c>
      <c r="D47" s="244"/>
      <c r="E47" s="244" t="s">
        <v>291</v>
      </c>
      <c r="F47" s="244"/>
      <c r="G47" s="244"/>
      <c r="H47" s="261" t="s">
        <v>292</v>
      </c>
      <c r="I47" s="261"/>
      <c r="J47" s="252" t="s">
        <v>229</v>
      </c>
      <c r="K47" s="90">
        <v>60</v>
      </c>
    </row>
    <row r="48" spans="2:11" x14ac:dyDescent="0.2">
      <c r="B48" s="243" t="s">
        <v>25</v>
      </c>
      <c r="C48" s="244" t="s">
        <v>12</v>
      </c>
      <c r="D48" s="244"/>
      <c r="E48" s="244" t="s">
        <v>293</v>
      </c>
      <c r="F48" s="244"/>
      <c r="G48" s="244"/>
      <c r="H48" s="261" t="s">
        <v>294</v>
      </c>
      <c r="I48" s="261"/>
      <c r="J48" s="252" t="s">
        <v>229</v>
      </c>
      <c r="K48" s="90">
        <v>16.5</v>
      </c>
    </row>
    <row r="49" spans="2:11" x14ac:dyDescent="0.2">
      <c r="B49" s="243"/>
      <c r="C49" s="244"/>
      <c r="D49" s="244"/>
      <c r="E49" s="244"/>
      <c r="F49" s="244"/>
      <c r="G49" s="244"/>
      <c r="H49" s="261"/>
      <c r="I49" s="261"/>
      <c r="J49" s="252"/>
      <c r="K49" s="90">
        <f t="shared" ref="K47:K51" si="8">J49</f>
        <v>0</v>
      </c>
    </row>
    <row r="50" spans="2:11" x14ac:dyDescent="0.2">
      <c r="B50" s="245"/>
      <c r="C50" s="246"/>
      <c r="D50" s="246"/>
      <c r="E50" s="246"/>
      <c r="F50" s="246"/>
      <c r="G50" s="246"/>
      <c r="H50" s="262"/>
      <c r="I50" s="262"/>
      <c r="J50" s="254"/>
      <c r="K50" s="90">
        <f t="shared" si="8"/>
        <v>0</v>
      </c>
    </row>
    <row r="51" spans="2:11" ht="13.5" thickBot="1" x14ac:dyDescent="0.25">
      <c r="B51" s="247"/>
      <c r="C51" s="248"/>
      <c r="D51" s="250"/>
      <c r="E51" s="248"/>
      <c r="F51" s="249"/>
      <c r="G51" s="250"/>
      <c r="H51" s="263"/>
      <c r="I51" s="264"/>
      <c r="J51" s="265"/>
      <c r="K51" s="92">
        <f t="shared" si="8"/>
        <v>0</v>
      </c>
    </row>
    <row r="52" spans="2:11" x14ac:dyDescent="0.2">
      <c r="E52" s="71"/>
      <c r="F52" s="71"/>
      <c r="G52" s="71"/>
      <c r="H52" s="71"/>
      <c r="I52" s="4" t="s">
        <v>92</v>
      </c>
      <c r="J52" s="79">
        <f>SUM(J47:J51)</f>
        <v>0</v>
      </c>
      <c r="K52" s="81">
        <f>SUM(K47:K51)</f>
        <v>76.5</v>
      </c>
    </row>
    <row r="53" spans="2:11" x14ac:dyDescent="0.2">
      <c r="E53" s="71"/>
      <c r="F53" s="71"/>
      <c r="G53" s="71"/>
      <c r="H53" s="71"/>
      <c r="J53" s="76"/>
      <c r="K53" s="82"/>
    </row>
    <row r="54" spans="2:11" x14ac:dyDescent="0.2">
      <c r="E54" s="71"/>
      <c r="F54" s="71"/>
      <c r="G54" s="71"/>
      <c r="H54" s="71"/>
      <c r="I54" s="4" t="s">
        <v>69</v>
      </c>
      <c r="J54" s="79">
        <f>SUM(J23+J32+J43+J52)</f>
        <v>2750</v>
      </c>
      <c r="K54" s="82">
        <f>SUM(K23+K32+K43+K52)</f>
        <v>2826.5</v>
      </c>
    </row>
    <row r="55" spans="2:11" x14ac:dyDescent="0.2">
      <c r="E55" s="71"/>
      <c r="F55" s="71"/>
      <c r="G55" s="71"/>
      <c r="H55" s="71"/>
      <c r="I55" s="4" t="s">
        <v>70</v>
      </c>
      <c r="J55" s="79">
        <f>J54*15%</f>
        <v>412.5</v>
      </c>
      <c r="K55" s="82">
        <f>K54*15%</f>
        <v>423.97499999999997</v>
      </c>
    </row>
    <row r="56" spans="2:11" x14ac:dyDescent="0.2">
      <c r="E56" s="71"/>
      <c r="F56" s="71"/>
      <c r="G56" s="71"/>
      <c r="H56" s="71"/>
      <c r="I56" s="4" t="s">
        <v>199</v>
      </c>
      <c r="J56" s="79">
        <f>J54+J55</f>
        <v>3162.5</v>
      </c>
      <c r="K56" s="82">
        <f>K54+K55</f>
        <v>3250.4749999999999</v>
      </c>
    </row>
    <row r="57" spans="2:11" x14ac:dyDescent="0.2">
      <c r="K57" s="64"/>
    </row>
    <row r="58" spans="2:11" x14ac:dyDescent="0.2">
      <c r="K58" s="64"/>
    </row>
    <row r="59" spans="2:11" x14ac:dyDescent="0.2">
      <c r="K59" s="64"/>
    </row>
    <row r="60" spans="2:11" ht="13.5" thickBot="1" x14ac:dyDescent="0.25">
      <c r="K60" s="64"/>
    </row>
    <row r="61" spans="2:11" ht="13.5" thickBot="1" x14ac:dyDescent="0.25">
      <c r="B61" s="37" t="s">
        <v>94</v>
      </c>
      <c r="C61" s="266" t="s">
        <v>72</v>
      </c>
      <c r="D61" s="267"/>
      <c r="E61" s="38" t="s">
        <v>252</v>
      </c>
      <c r="F61" s="143"/>
      <c r="G61" s="143"/>
      <c r="H61" s="143"/>
      <c r="I61" s="143"/>
      <c r="J61" s="143"/>
      <c r="K61" s="39"/>
    </row>
    <row r="62" spans="2:11" x14ac:dyDescent="0.2">
      <c r="B62" s="130" t="s">
        <v>198</v>
      </c>
      <c r="C62" s="131"/>
      <c r="D62" s="131"/>
      <c r="E62" s="131"/>
      <c r="F62" s="131"/>
      <c r="G62" s="131"/>
      <c r="H62" s="131"/>
      <c r="I62" s="131"/>
      <c r="J62" s="131"/>
      <c r="K62" s="132"/>
    </row>
    <row r="63" spans="2:11" x14ac:dyDescent="0.2">
      <c r="B63" s="133"/>
      <c r="C63" s="134"/>
      <c r="D63" s="134"/>
      <c r="E63" s="134"/>
      <c r="F63" s="134"/>
      <c r="G63" s="134"/>
      <c r="H63" s="134"/>
      <c r="I63" s="134"/>
      <c r="J63" s="134"/>
      <c r="K63" s="135"/>
    </row>
    <row r="64" spans="2:11" x14ac:dyDescent="0.2">
      <c r="B64" s="121" t="s">
        <v>295</v>
      </c>
      <c r="C64" s="122"/>
      <c r="D64" s="122"/>
      <c r="E64" s="122"/>
      <c r="F64" s="122"/>
      <c r="G64" s="122"/>
      <c r="H64" s="122"/>
      <c r="I64" s="122"/>
      <c r="J64" s="122"/>
      <c r="K64" s="123"/>
    </row>
    <row r="65" spans="2:11" x14ac:dyDescent="0.2">
      <c r="B65" s="121" t="s">
        <v>296</v>
      </c>
      <c r="C65" s="122"/>
      <c r="D65" s="122"/>
      <c r="E65" s="122"/>
      <c r="F65" s="122"/>
      <c r="G65" s="122"/>
      <c r="H65" s="122"/>
      <c r="I65" s="122"/>
      <c r="J65" s="122"/>
      <c r="K65" s="123"/>
    </row>
    <row r="66" spans="2:11" x14ac:dyDescent="0.2">
      <c r="B66" s="121"/>
      <c r="C66" s="122"/>
      <c r="D66" s="122"/>
      <c r="E66" s="122"/>
      <c r="F66" s="122"/>
      <c r="G66" s="122"/>
      <c r="H66" s="122"/>
      <c r="I66" s="122"/>
      <c r="J66" s="122"/>
      <c r="K66" s="123"/>
    </row>
    <row r="67" spans="2:11" ht="13.5" thickBot="1" x14ac:dyDescent="0.25">
      <c r="B67" s="124"/>
      <c r="C67" s="125"/>
      <c r="D67" s="125"/>
      <c r="E67" s="125"/>
      <c r="F67" s="125"/>
      <c r="G67" s="125"/>
      <c r="H67" s="125"/>
      <c r="I67" s="125"/>
      <c r="J67" s="125"/>
      <c r="K67" s="126"/>
    </row>
    <row r="68" spans="2:11" x14ac:dyDescent="0.2">
      <c r="B68" s="127" t="s">
        <v>193</v>
      </c>
      <c r="C68" s="128"/>
      <c r="D68" s="128"/>
      <c r="E68" s="128"/>
      <c r="F68" s="128"/>
      <c r="G68" s="128"/>
      <c r="H68" s="128"/>
      <c r="I68" s="128"/>
      <c r="J68" s="128"/>
      <c r="K68" s="129"/>
    </row>
    <row r="69" spans="2:11" x14ac:dyDescent="0.2">
      <c r="B69" s="144" t="s">
        <v>194</v>
      </c>
      <c r="C69" s="145"/>
      <c r="D69" s="145"/>
      <c r="E69" s="145"/>
      <c r="F69" s="145"/>
      <c r="G69" s="145"/>
      <c r="H69" s="145"/>
      <c r="I69" s="145"/>
      <c r="J69" s="145"/>
      <c r="K69" s="146"/>
    </row>
    <row r="70" spans="2:11" x14ac:dyDescent="0.2">
      <c r="B70" s="144" t="s">
        <v>195</v>
      </c>
      <c r="C70" s="145"/>
      <c r="D70" s="145"/>
      <c r="E70" s="145"/>
      <c r="F70" s="145"/>
      <c r="G70" s="145"/>
      <c r="H70" s="145"/>
      <c r="I70" s="145"/>
      <c r="J70" s="145"/>
      <c r="K70" s="146"/>
    </row>
    <row r="71" spans="2:11" x14ac:dyDescent="0.2">
      <c r="B71" s="144" t="s">
        <v>196</v>
      </c>
      <c r="C71" s="145"/>
      <c r="D71" s="145"/>
      <c r="E71" s="145"/>
      <c r="F71" s="145"/>
      <c r="G71" s="145"/>
      <c r="H71" s="145"/>
      <c r="I71" s="145"/>
      <c r="J71" s="145"/>
      <c r="K71" s="146"/>
    </row>
    <row r="72" spans="2:11" x14ac:dyDescent="0.2">
      <c r="B72" s="144" t="s">
        <v>197</v>
      </c>
      <c r="C72" s="145"/>
      <c r="D72" s="145"/>
      <c r="E72" s="145"/>
      <c r="F72" s="145"/>
      <c r="G72" s="145"/>
      <c r="H72" s="145"/>
      <c r="I72" s="145"/>
      <c r="J72" s="145"/>
      <c r="K72" s="146"/>
    </row>
    <row r="73" spans="2:11" ht="13.5" thickBot="1" x14ac:dyDescent="0.25">
      <c r="B73" s="40" t="s">
        <v>223</v>
      </c>
      <c r="C73" s="41"/>
      <c r="D73" s="41"/>
      <c r="E73" s="41"/>
      <c r="F73" s="41"/>
      <c r="G73" s="41"/>
      <c r="H73" s="41"/>
      <c r="I73" s="41"/>
      <c r="J73" s="41"/>
      <c r="K73" s="42"/>
    </row>
    <row r="74" spans="2:11" ht="15.75" customHeight="1" x14ac:dyDescent="0.2">
      <c r="B74" s="100" t="s">
        <v>101</v>
      </c>
      <c r="C74" s="268" t="s">
        <v>297</v>
      </c>
      <c r="D74" s="269"/>
      <c r="E74" s="269"/>
      <c r="F74" s="269"/>
      <c r="G74" s="269"/>
      <c r="H74" s="269"/>
      <c r="I74" s="269"/>
      <c r="J74" s="269"/>
      <c r="K74" s="270"/>
    </row>
    <row r="75" spans="2:11" ht="15.75" customHeight="1" thickBot="1" x14ac:dyDescent="0.25">
      <c r="B75" s="101" t="s">
        <v>95</v>
      </c>
      <c r="C75" s="140"/>
      <c r="D75" s="141"/>
      <c r="E75" s="141"/>
      <c r="F75" s="141"/>
      <c r="G75" s="141"/>
      <c r="H75" s="141"/>
      <c r="I75" s="141"/>
      <c r="J75" s="141"/>
      <c r="K75" s="142"/>
    </row>
    <row r="76" spans="2:11" x14ac:dyDescent="0.2">
      <c r="B76" s="44" t="s">
        <v>220</v>
      </c>
      <c r="C76" s="45"/>
      <c r="D76" s="45"/>
      <c r="E76" s="45"/>
      <c r="F76" s="45"/>
      <c r="G76" s="45"/>
      <c r="H76" s="45"/>
      <c r="I76" s="45"/>
      <c r="J76" s="45"/>
      <c r="K76" s="46"/>
    </row>
    <row r="77" spans="2:11" x14ac:dyDescent="0.2">
      <c r="B77" s="44" t="s">
        <v>221</v>
      </c>
      <c r="C77" s="45"/>
      <c r="D77" s="45"/>
      <c r="E77" s="45"/>
      <c r="F77" s="45"/>
      <c r="G77" s="45"/>
      <c r="H77" s="45"/>
      <c r="I77" s="45"/>
      <c r="J77" s="45"/>
      <c r="K77" s="46"/>
    </row>
    <row r="78" spans="2:11" ht="13.5" thickBot="1" x14ac:dyDescent="0.25">
      <c r="B78" s="40" t="s">
        <v>222</v>
      </c>
      <c r="C78" s="41"/>
      <c r="D78" s="41"/>
      <c r="E78" s="41"/>
      <c r="F78" s="41"/>
      <c r="G78" s="41"/>
      <c r="H78" s="41"/>
      <c r="I78" s="41"/>
      <c r="J78" s="41"/>
      <c r="K78" s="47"/>
    </row>
    <row r="79" spans="2:11" x14ac:dyDescent="0.2">
      <c r="B79" s="137"/>
      <c r="C79" s="137"/>
      <c r="D79" s="137"/>
      <c r="E79" s="137"/>
      <c r="F79" s="137"/>
      <c r="G79" s="137"/>
      <c r="H79" s="137"/>
      <c r="I79" s="137"/>
      <c r="J79" s="137"/>
      <c r="K79" s="137"/>
    </row>
    <row r="80" spans="2:11" x14ac:dyDescent="0.2">
      <c r="B80" s="136"/>
      <c r="C80" s="136"/>
    </row>
    <row r="81" spans="2:3" x14ac:dyDescent="0.2">
      <c r="B81" s="136"/>
      <c r="C81" s="136"/>
    </row>
    <row r="82" spans="2:3" x14ac:dyDescent="0.2">
      <c r="B82" s="136"/>
      <c r="C82" s="136"/>
    </row>
    <row r="83" spans="2:3" x14ac:dyDescent="0.2">
      <c r="B83" s="136"/>
      <c r="C83" s="136"/>
    </row>
    <row r="84" spans="2:3" x14ac:dyDescent="0.2">
      <c r="B84" s="136"/>
      <c r="C84" s="136"/>
    </row>
    <row r="85" spans="2:3" x14ac:dyDescent="0.2">
      <c r="B85" s="136"/>
      <c r="C85" s="136"/>
    </row>
    <row r="86" spans="2:3" x14ac:dyDescent="0.2">
      <c r="B86" s="136"/>
      <c r="C86" s="136"/>
    </row>
    <row r="87" spans="2:3" x14ac:dyDescent="0.2">
      <c r="B87" s="136"/>
      <c r="C87" s="136"/>
    </row>
    <row r="88" spans="2:3" x14ac:dyDescent="0.2">
      <c r="B88" s="136"/>
      <c r="C88" s="136"/>
    </row>
    <row r="89" spans="2:3" x14ac:dyDescent="0.2">
      <c r="B89" s="136"/>
      <c r="C89" s="136"/>
    </row>
    <row r="90" spans="2:3" x14ac:dyDescent="0.2">
      <c r="B90" s="136"/>
      <c r="C90" s="136"/>
    </row>
  </sheetData>
  <mergeCells count="85">
    <mergeCell ref="C61:D61"/>
    <mergeCell ref="H2:K2"/>
    <mergeCell ref="H3:K3"/>
    <mergeCell ref="H4:K4"/>
    <mergeCell ref="H6:I6"/>
    <mergeCell ref="H8:I8"/>
    <mergeCell ref="E49:G49"/>
    <mergeCell ref="E47:G47"/>
    <mergeCell ref="C7:E7"/>
    <mergeCell ref="C9:E9"/>
    <mergeCell ref="D36:E36"/>
    <mergeCell ref="D37:E37"/>
    <mergeCell ref="C30:I30"/>
    <mergeCell ref="C27:I27"/>
    <mergeCell ref="C28:I28"/>
    <mergeCell ref="C10:E10"/>
    <mergeCell ref="C2:E2"/>
    <mergeCell ref="C3:E3"/>
    <mergeCell ref="C4:E4"/>
    <mergeCell ref="C5:E5"/>
    <mergeCell ref="C6:E6"/>
    <mergeCell ref="H7:I7"/>
    <mergeCell ref="H9:I9"/>
    <mergeCell ref="B80:C80"/>
    <mergeCell ref="B81:C81"/>
    <mergeCell ref="B82:C82"/>
    <mergeCell ref="H32:I32"/>
    <mergeCell ref="H33:I33"/>
    <mergeCell ref="D38:E38"/>
    <mergeCell ref="H49:I49"/>
    <mergeCell ref="C8:E8"/>
    <mergeCell ref="B72:K72"/>
    <mergeCell ref="C74:K74"/>
    <mergeCell ref="B64:K64"/>
    <mergeCell ref="B65:K65"/>
    <mergeCell ref="C11:E11"/>
    <mergeCell ref="H10:I10"/>
    <mergeCell ref="B83:C83"/>
    <mergeCell ref="C46:D46"/>
    <mergeCell ref="C47:D47"/>
    <mergeCell ref="C48:D48"/>
    <mergeCell ref="C49:D49"/>
    <mergeCell ref="B79:K79"/>
    <mergeCell ref="E48:G48"/>
    <mergeCell ref="H46:I46"/>
    <mergeCell ref="E46:G46"/>
    <mergeCell ref="H47:I47"/>
    <mergeCell ref="H48:I48"/>
    <mergeCell ref="C75:K75"/>
    <mergeCell ref="F61:J61"/>
    <mergeCell ref="B69:K69"/>
    <mergeCell ref="B70:K70"/>
    <mergeCell ref="B71:K71"/>
    <mergeCell ref="B84:C84"/>
    <mergeCell ref="B90:C90"/>
    <mergeCell ref="B85:C85"/>
    <mergeCell ref="B86:C86"/>
    <mergeCell ref="B87:C87"/>
    <mergeCell ref="B88:C88"/>
    <mergeCell ref="B89:C89"/>
    <mergeCell ref="B66:K66"/>
    <mergeCell ref="B67:K67"/>
    <mergeCell ref="B68:K68"/>
    <mergeCell ref="B62:K62"/>
    <mergeCell ref="B63:K63"/>
    <mergeCell ref="C31:I31"/>
    <mergeCell ref="C51:D51"/>
    <mergeCell ref="E51:G51"/>
    <mergeCell ref="H51:I51"/>
    <mergeCell ref="D39:E39"/>
    <mergeCell ref="D40:E40"/>
    <mergeCell ref="D42:E42"/>
    <mergeCell ref="C50:D50"/>
    <mergeCell ref="E50:G50"/>
    <mergeCell ref="H50:I50"/>
    <mergeCell ref="D41:E41"/>
    <mergeCell ref="C20:I20"/>
    <mergeCell ref="C16:I16"/>
    <mergeCell ref="C29:I29"/>
    <mergeCell ref="C26:I26"/>
    <mergeCell ref="C17:I17"/>
    <mergeCell ref="C18:I18"/>
    <mergeCell ref="C19:I19"/>
    <mergeCell ref="C22:I22"/>
    <mergeCell ref="C21:I21"/>
  </mergeCells>
  <conditionalFormatting sqref="C13 C10:C11">
    <cfRule type="containsText" dxfId="4" priority="10" operator="containsText" text="Yes">
      <formula>NOT(ISERROR(SEARCH("Yes",C10)))</formula>
    </cfRule>
  </conditionalFormatting>
  <conditionalFormatting sqref="K37:K42 K27:K31 K47:K51 K17:K22">
    <cfRule type="expression" dxfId="3" priority="8">
      <formula>AND($K17&lt;&gt;"", $K17&lt;&gt;0, $J17&lt;&gt;$K17)</formula>
    </cfRule>
  </conditionalFormatting>
  <dataValidations count="9">
    <dataValidation type="list" allowBlank="1" showInputMessage="1" showErrorMessage="1" sqref="C8" xr:uid="{00000000-0002-0000-0100-000004000000}">
      <formula1>AssessmentMode</formula1>
    </dataValidation>
    <dataValidation type="list" allowBlank="1" showInputMessage="1" showErrorMessage="1" sqref="C10" xr:uid="{00000000-0002-0000-0100-000005000000}">
      <formula1>TotalLoss</formula1>
    </dataValidation>
    <dataValidation type="list" allowBlank="1" showInputMessage="1" showErrorMessage="1" sqref="D47:D49 C47:C51" xr:uid="{00000000-0002-0000-0100-000009000000}">
      <formula1>SubletType</formula1>
    </dataValidation>
    <dataValidation type="list" allowBlank="1" showInputMessage="1" showErrorMessage="1" sqref="B27:B31" xr:uid="{00000000-0002-0000-0100-000006000000}">
      <formula1>PaintType</formula1>
    </dataValidation>
    <dataValidation type="list" allowBlank="1" showInputMessage="1" showErrorMessage="1" sqref="B17:B22" xr:uid="{00000000-0002-0000-0100-000002000000}">
      <formula1>LabourType</formula1>
    </dataValidation>
    <dataValidation type="whole" allowBlank="1" showInputMessage="1" showErrorMessage="1" errorTitle="Quantity" error="Value must be a whole number" sqref="F37:F42" xr:uid="{00000000-0002-0000-0100-000001000000}">
      <formula1>0</formula1>
      <formula2>1000000</formula2>
    </dataValidation>
    <dataValidation type="list" allowBlank="1" showInputMessage="1" showErrorMessage="1" sqref="H37:H42" xr:uid="{00000000-0002-0000-0100-000008000000}">
      <formula1>MarkUp</formula1>
    </dataValidation>
    <dataValidation type="list" allowBlank="1" showInputMessage="1" showErrorMessage="1" sqref="B37:B42" xr:uid="{00000000-0002-0000-0100-000007000000}">
      <formula1>PartsType</formula1>
    </dataValidation>
    <dataValidation type="list" allowBlank="1" showInputMessage="1" showErrorMessage="1" sqref="B47:B51" xr:uid="{00000000-0002-0000-0100-00000A000000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32" fitToHeight="0" orientation="portrait" r:id="rId1"/>
  <headerFooter>
    <oddHeader>&amp;CAssessment</oddHeader>
    <oddFooter>&amp;L4113&amp;CPage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LabourDetailLine">
                <anchor moveWithCells="1" sizeWithCells="1">
                  <from>
                    <xdr:col>9</xdr:col>
                    <xdr:colOff>876300</xdr:colOff>
                    <xdr:row>13</xdr:row>
                    <xdr:rowOff>104775</xdr:rowOff>
                  </from>
                  <to>
                    <xdr:col>10</xdr:col>
                    <xdr:colOff>942975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alidateData">
                <anchor moveWithCells="1" sizeWithCells="1">
                  <from>
                    <xdr:col>4</xdr:col>
                    <xdr:colOff>752475</xdr:colOff>
                    <xdr:row>57</xdr:row>
                    <xdr:rowOff>9525</xdr:rowOff>
                  </from>
                  <to>
                    <xdr:col>6</xdr:col>
                    <xdr:colOff>762000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PaintDetailLine">
                <anchor moveWithCells="1" sizeWithCells="1">
                  <from>
                    <xdr:col>9</xdr:col>
                    <xdr:colOff>876300</xdr:colOff>
                    <xdr:row>23</xdr:row>
                    <xdr:rowOff>104775</xdr:rowOff>
                  </from>
                  <to>
                    <xdr:col>10</xdr:col>
                    <xdr:colOff>942975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PartsDetailLine">
                <anchor moveWithCells="1" sizeWithCells="1">
                  <from>
                    <xdr:col>9</xdr:col>
                    <xdr:colOff>876300</xdr:colOff>
                    <xdr:row>33</xdr:row>
                    <xdr:rowOff>104775</xdr:rowOff>
                  </from>
                  <to>
                    <xdr:col>10</xdr:col>
                    <xdr:colOff>942975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43</xdr:row>
                    <xdr:rowOff>104775</xdr:rowOff>
                  </from>
                  <to>
                    <xdr:col>10</xdr:col>
                    <xdr:colOff>942975</xdr:colOff>
                    <xdr:row>44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otalLossMsg">
                <anchor moveWithCells="1" sizeWithCells="1">
                  <from>
                    <xdr:col>1</xdr:col>
                    <xdr:colOff>838200</xdr:colOff>
                    <xdr:row>11</xdr:row>
                    <xdr:rowOff>142875</xdr:rowOff>
                  </from>
                  <to>
                    <xdr:col>2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upplementaryMsg">
                <anchor moveWithCells="1" sizeWithCells="1">
                  <from>
                    <xdr:col>2</xdr:col>
                    <xdr:colOff>638175</xdr:colOff>
                    <xdr:row>11</xdr:row>
                    <xdr:rowOff>142875</xdr:rowOff>
                  </from>
                  <to>
                    <xdr:col>4</xdr:col>
                    <xdr:colOff>28575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B000000}">
          <x14:formula1>
            <xm:f>'Assessment Lookups'!$A$75:$A$78</xm:f>
          </x14:formula1>
          <xm:sqref>C61</xm:sqref>
        </x14:dataValidation>
        <x14:dataValidation type="list" allowBlank="1" showInputMessage="1" showErrorMessage="1" xr:uid="{00000000-0002-0000-0100-00000C000000}">
          <x14:formula1>
            <xm:f>'Assessment Lookups'!$A$81:$A$82</xm:f>
          </x14:formula1>
          <xm:sqref>F61:J61</xm:sqref>
        </x14:dataValidation>
        <x14:dataValidation type="list" allowBlank="1" showInputMessage="1" showErrorMessage="1" xr:uid="{00000000-0002-0000-0100-00000E000000}">
          <x14:formula1>
            <xm:f>'Assessment Lookups'!$F$1:$F$2</xm:f>
          </x14:formula1>
          <xm:sqref>C10</xm:sqref>
        </x14:dataValidation>
        <x14:dataValidation type="list" allowBlank="1" showInputMessage="1" showErrorMessage="1" xr:uid="{00000000-0002-0000-0100-000013000000}">
          <x14:formula1>
            <xm:f>'Assessment Lookups'!$F$5:$F$6</xm:f>
          </x14:formula1>
          <xm:sqref>C8</xm:sqref>
        </x14:dataValidation>
        <x14:dataValidation type="list" allowBlank="1" showInputMessage="1" showErrorMessage="1" xr:uid="{00000000-0002-0000-0100-000016000000}">
          <x14:formula1>
            <xm:f>'Assessment Lookups'!$A$80:$A$87</xm:f>
          </x14:formula1>
          <xm:sqref>F61</xm:sqref>
        </x14:dataValidation>
        <x14:dataValidation type="list" allowBlank="1" xr:uid="{0FF9B103-0A3C-4968-B713-B6D0FF33B070}">
          <x14:formula1>
            <xm:f>'Assessment Lookups'!$I$75:$I$76</xm:f>
          </x14:formula1>
          <xm:sqref>J17:K22 J27:K31 J37:K42 J47:K51</xm:sqref>
        </x14:dataValidation>
        <x14:dataValidation type="list" allowBlank="1" showInputMessage="1" showErrorMessage="1" xr:uid="{A25E361D-C045-464C-8340-AD37F0167104}">
          <x14:formula1>
            <xm:f>'Assessment Lookups'!$F$75:$F$76</xm:f>
          </x14:formula1>
          <xm:sqref>C11:E11</xm:sqref>
        </x14:dataValidation>
        <x14:dataValidation type="list" allowBlank="1" showInputMessage="1" showErrorMessage="1" xr:uid="{00000000-0002-0000-0100-000012000000}">
          <x14:formula1>
            <xm:f>'Assessment Lookups'!$A$10</xm:f>
          </x14:formula1>
          <xm:sqref>B27:B31</xm:sqref>
        </x14:dataValidation>
        <x14:dataValidation type="list" allowBlank="1" showInputMessage="1" showErrorMessage="1" errorTitle="Labour" error="Please select labour type from the available list" xr:uid="{00000000-0002-0000-0100-00000D000000}">
          <x14:formula1>
            <xm:f>'Assessment Lookups'!$A$2:$A$7</xm:f>
          </x14:formula1>
          <xm:sqref>B17:B22</xm:sqref>
        </x14:dataValidation>
        <x14:dataValidation type="list" allowBlank="1" showInputMessage="1" showErrorMessage="1" xr:uid="{00000000-0002-0000-0100-000014000000}">
          <x14:formula1>
            <xm:f>'Assessment Lookups'!$F$9:$F$11</xm:f>
          </x14:formula1>
          <xm:sqref>H37:H42</xm:sqref>
        </x14:dataValidation>
        <x14:dataValidation type="list" allowBlank="1" showInputMessage="1" showErrorMessage="1" xr:uid="{00000000-0002-0000-0100-00000F000000}">
          <x14:formula1>
            <xm:f>'Assessment Lookups'!$A$15:$A$21</xm:f>
          </x14:formula1>
          <xm:sqref>B37:B42</xm:sqref>
        </x14:dataValidation>
        <x14:dataValidation type="list" allowBlank="1" showInputMessage="1" showErrorMessage="1" xr:uid="{00000000-0002-0000-0100-000010000000}">
          <x14:formula1>
            <xm:f>'Assessment Lookups'!$A$24:$A$25</xm:f>
          </x14:formula1>
          <xm:sqref>B47:B51</xm:sqref>
        </x14:dataValidation>
        <x14:dataValidation type="list" allowBlank="1" showInputMessage="1" showErrorMessage="1" xr:uid="{00000000-0002-0000-0100-000011000000}">
          <x14:formula1>
            <xm:f>'Assessment Lookups'!$A$28:$A$72</xm:f>
          </x14:formula1>
          <xm:sqref>C47:C51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F7A0E-48A6-4967-82C9-62C5D9263240}">
  <sheetPr codeName="Sheet3">
    <pageSetUpPr fitToPage="1"/>
  </sheetPr>
  <dimension ref="B1:F42"/>
  <sheetViews>
    <sheetView showGridLines="0" zoomScale="110" zoomScaleNormal="110" workbookViewId="0">
      <selection activeCell="E22" sqref="E22"/>
    </sheetView>
  </sheetViews>
  <sheetFormatPr defaultColWidth="9.140625" defaultRowHeight="12.75" x14ac:dyDescent="0.2"/>
  <cols>
    <col min="1" max="1" width="1.140625" style="4" customWidth="1"/>
    <col min="2" max="2" width="40.42578125" style="4" customWidth="1"/>
    <col min="3" max="3" width="32.42578125" style="4" customWidth="1"/>
    <col min="4" max="4" width="17.42578125" style="4" customWidth="1"/>
    <col min="5" max="5" width="39.5703125" style="4" customWidth="1"/>
    <col min="6" max="16384" width="9.140625" style="4"/>
  </cols>
  <sheetData>
    <row r="1" spans="2:6" ht="6" customHeight="1" thickBot="1" x14ac:dyDescent="0.25"/>
    <row r="2" spans="2:6" x14ac:dyDescent="0.2">
      <c r="B2" s="5" t="s">
        <v>74</v>
      </c>
      <c r="C2" s="68" t="str">
        <f>IF(ISBLANK([0]!GC_YourRef), "", [0]!GC_YourRef)</f>
        <v>N008653405</v>
      </c>
      <c r="D2" s="5" t="s">
        <v>226</v>
      </c>
      <c r="E2" s="68" t="str">
        <f>IF(ISBLANK([0]!GC_GABRef), "", [0]!GC_GABRef)</f>
        <v>25/8864</v>
      </c>
      <c r="F2" s="6"/>
    </row>
    <row r="3" spans="2:6" x14ac:dyDescent="0.2">
      <c r="B3" s="7" t="s">
        <v>80</v>
      </c>
      <c r="C3" s="69">
        <f>IF(ISBLANK([0]!Year), "", [0]!Year)</f>
        <v>2001</v>
      </c>
      <c r="D3" s="8" t="s">
        <v>205</v>
      </c>
      <c r="E3" s="110"/>
      <c r="F3" s="6"/>
    </row>
    <row r="4" spans="2:6" x14ac:dyDescent="0.2">
      <c r="B4" s="8" t="s">
        <v>75</v>
      </c>
      <c r="C4" s="55" t="str">
        <f>IF(ISBLANK([0]!MakeModel), "", [0]!MakeModel)</f>
        <v>FORD</v>
      </c>
      <c r="D4" s="8" t="s">
        <v>206</v>
      </c>
      <c r="E4" s="55" t="str">
        <f>IF(ISBLANK([0]!GC_Insured), "", [0]!GC_Insured)</f>
        <v>Cameron Osbourne</v>
      </c>
      <c r="F4" s="6"/>
    </row>
    <row r="5" spans="2:6" ht="13.5" thickBot="1" x14ac:dyDescent="0.25">
      <c r="B5" s="8" t="s">
        <v>76</v>
      </c>
      <c r="C5" s="55" t="str">
        <f>IF(ISBLANK([0]!Model), "", [0]!Model)</f>
        <v>F150 HARLEY-DAVIDSON PICKUP SUPER C REW</v>
      </c>
      <c r="D5" s="9" t="s">
        <v>207</v>
      </c>
      <c r="E5" s="111" t="str">
        <f>IF(ISBLANK('Quote Assessment'!H10), "", 'Quote Assessment'!H10)</f>
        <v>0272860834</v>
      </c>
    </row>
    <row r="6" spans="2:6" x14ac:dyDescent="0.2">
      <c r="B6" s="9" t="s">
        <v>178</v>
      </c>
      <c r="C6" s="104"/>
      <c r="D6" s="67"/>
    </row>
    <row r="7" spans="2:6" x14ac:dyDescent="0.2">
      <c r="B7" s="9" t="s">
        <v>179</v>
      </c>
      <c r="C7" s="104"/>
      <c r="D7" s="66"/>
    </row>
    <row r="8" spans="2:6" x14ac:dyDescent="0.2">
      <c r="B8" s="9" t="s">
        <v>180</v>
      </c>
      <c r="C8" s="104"/>
      <c r="D8" s="66"/>
    </row>
    <row r="9" spans="2:6" x14ac:dyDescent="0.2">
      <c r="B9" s="9" t="s">
        <v>181</v>
      </c>
      <c r="C9" s="104"/>
    </row>
    <row r="10" spans="2:6" ht="13.5" thickBot="1" x14ac:dyDescent="0.25">
      <c r="B10" s="10" t="s">
        <v>1</v>
      </c>
      <c r="C10" s="70" t="str">
        <f>IF(ISBLANK([0]!Rego), "", [0]!Rego)</f>
        <v>PCY383</v>
      </c>
    </row>
    <row r="11" spans="2:6" x14ac:dyDescent="0.2">
      <c r="C11" s="106"/>
    </row>
    <row r="12" spans="2:6" ht="13.5" thickBot="1" x14ac:dyDescent="0.25">
      <c r="C12" s="106"/>
    </row>
    <row r="13" spans="2:6" x14ac:dyDescent="0.2">
      <c r="B13" s="5" t="s">
        <v>102</v>
      </c>
      <c r="C13" s="68"/>
    </row>
    <row r="14" spans="2:6" x14ac:dyDescent="0.2">
      <c r="B14" s="8" t="s">
        <v>103</v>
      </c>
      <c r="C14" s="55"/>
    </row>
    <row r="15" spans="2:6" x14ac:dyDescent="0.2">
      <c r="B15" s="8" t="s">
        <v>182</v>
      </c>
      <c r="C15" s="55"/>
    </row>
    <row r="16" spans="2:6" x14ac:dyDescent="0.2">
      <c r="B16" s="8" t="s">
        <v>183</v>
      </c>
      <c r="C16" s="55"/>
    </row>
    <row r="17" spans="2:5" x14ac:dyDescent="0.2">
      <c r="B17" s="8" t="s">
        <v>184</v>
      </c>
      <c r="C17" s="55"/>
    </row>
    <row r="18" spans="2:5" x14ac:dyDescent="0.2">
      <c r="B18" s="8" t="s">
        <v>185</v>
      </c>
      <c r="C18" s="55"/>
    </row>
    <row r="19" spans="2:5" x14ac:dyDescent="0.2">
      <c r="B19" s="8" t="s">
        <v>186</v>
      </c>
      <c r="C19" s="55"/>
    </row>
    <row r="20" spans="2:5" x14ac:dyDescent="0.2">
      <c r="B20" s="8" t="s">
        <v>187</v>
      </c>
      <c r="C20" s="55"/>
    </row>
    <row r="21" spans="2:5" x14ac:dyDescent="0.2">
      <c r="B21" s="8" t="s">
        <v>2</v>
      </c>
      <c r="C21" s="55"/>
      <c r="D21" s="113" t="s">
        <v>269</v>
      </c>
    </row>
    <row r="22" spans="2:5" x14ac:dyDescent="0.2">
      <c r="B22" s="8" t="s">
        <v>242</v>
      </c>
      <c r="C22" s="55"/>
      <c r="D22" s="113" t="s">
        <v>269</v>
      </c>
    </row>
    <row r="23" spans="2:5" ht="13.5" thickBot="1" x14ac:dyDescent="0.25">
      <c r="B23" s="10" t="s">
        <v>241</v>
      </c>
      <c r="C23" s="70"/>
      <c r="D23" s="113" t="s">
        <v>269</v>
      </c>
    </row>
    <row r="24" spans="2:5" ht="13.5" thickBot="1" x14ac:dyDescent="0.25">
      <c r="C24" s="106"/>
    </row>
    <row r="25" spans="2:5" ht="12.75" customHeight="1" x14ac:dyDescent="0.2">
      <c r="B25" s="15" t="s">
        <v>224</v>
      </c>
      <c r="C25" s="107"/>
      <c r="D25" s="165" t="s">
        <v>270</v>
      </c>
      <c r="E25" s="166"/>
    </row>
    <row r="26" spans="2:5" x14ac:dyDescent="0.2">
      <c r="B26" s="13" t="s">
        <v>191</v>
      </c>
      <c r="C26" s="108"/>
      <c r="D26" s="167"/>
      <c r="E26" s="168"/>
    </row>
    <row r="27" spans="2:5" x14ac:dyDescent="0.2">
      <c r="B27" s="102" t="s">
        <v>188</v>
      </c>
      <c r="C27" s="108"/>
      <c r="D27" s="169"/>
      <c r="E27" s="170"/>
    </row>
    <row r="28" spans="2:5" x14ac:dyDescent="0.2">
      <c r="B28" s="8" t="s">
        <v>189</v>
      </c>
      <c r="C28" s="103"/>
      <c r="D28" s="12" t="s">
        <v>234</v>
      </c>
      <c r="E28" s="55"/>
    </row>
    <row r="29" spans="2:5" x14ac:dyDescent="0.2">
      <c r="B29" s="8" t="s">
        <v>235</v>
      </c>
      <c r="C29" s="109"/>
      <c r="D29" s="171"/>
      <c r="E29" s="172"/>
    </row>
    <row r="30" spans="2:5" x14ac:dyDescent="0.2">
      <c r="B30" s="8" t="s">
        <v>240</v>
      </c>
      <c r="C30" s="109"/>
      <c r="D30" s="173"/>
      <c r="E30" s="174"/>
    </row>
    <row r="31" spans="2:5" x14ac:dyDescent="0.2">
      <c r="B31" s="8" t="s">
        <v>244</v>
      </c>
      <c r="C31" s="109"/>
      <c r="D31" s="175"/>
      <c r="E31" s="176"/>
    </row>
    <row r="32" spans="2:5" x14ac:dyDescent="0.2">
      <c r="B32" s="8" t="s">
        <v>190</v>
      </c>
      <c r="C32" s="62"/>
      <c r="D32" s="65" t="s">
        <v>259</v>
      </c>
      <c r="E32" s="55"/>
    </row>
    <row r="33" spans="2:5" ht="13.5" thickBot="1" x14ac:dyDescent="0.25">
      <c r="B33" s="112" t="s">
        <v>253</v>
      </c>
      <c r="C33" s="73"/>
      <c r="D33" s="105" t="s">
        <v>268</v>
      </c>
      <c r="E33" s="104"/>
    </row>
    <row r="34" spans="2:5" x14ac:dyDescent="0.2">
      <c r="B34" s="177" t="s">
        <v>198</v>
      </c>
      <c r="C34" s="178"/>
      <c r="D34" s="178"/>
      <c r="E34" s="179"/>
    </row>
    <row r="35" spans="2:5" x14ac:dyDescent="0.2">
      <c r="B35" s="180"/>
      <c r="C35" s="181"/>
      <c r="D35" s="181"/>
      <c r="E35" s="182"/>
    </row>
    <row r="36" spans="2:5" x14ac:dyDescent="0.2">
      <c r="B36" s="189"/>
      <c r="C36" s="190"/>
      <c r="D36" s="190"/>
      <c r="E36" s="191"/>
    </row>
    <row r="37" spans="2:5" x14ac:dyDescent="0.2">
      <c r="B37" s="183"/>
      <c r="C37" s="184"/>
      <c r="D37" s="184"/>
      <c r="E37" s="185"/>
    </row>
    <row r="38" spans="2:5" ht="13.5" thickBot="1" x14ac:dyDescent="0.25">
      <c r="B38" s="186"/>
      <c r="C38" s="187"/>
      <c r="D38" s="187"/>
      <c r="E38" s="188"/>
    </row>
    <row r="39" spans="2:5" x14ac:dyDescent="0.2">
      <c r="C39" s="136"/>
      <c r="D39" s="136"/>
      <c r="E39" s="136"/>
    </row>
    <row r="40" spans="2:5" x14ac:dyDescent="0.2">
      <c r="C40" s="136"/>
      <c r="D40" s="136"/>
      <c r="E40" s="136"/>
    </row>
    <row r="41" spans="2:5" x14ac:dyDescent="0.2">
      <c r="C41" s="136"/>
      <c r="D41" s="136"/>
      <c r="E41" s="136"/>
    </row>
    <row r="42" spans="2:5" x14ac:dyDescent="0.2">
      <c r="C42" s="136"/>
      <c r="D42" s="136"/>
      <c r="E42" s="136"/>
    </row>
  </sheetData>
  <mergeCells count="11">
    <mergeCell ref="C41:E41"/>
    <mergeCell ref="C42:E42"/>
    <mergeCell ref="C39:E39"/>
    <mergeCell ref="D25:E27"/>
    <mergeCell ref="D29:E31"/>
    <mergeCell ref="C40:E40"/>
    <mergeCell ref="B34:E34"/>
    <mergeCell ref="B35:E35"/>
    <mergeCell ref="B37:E37"/>
    <mergeCell ref="B38:E38"/>
    <mergeCell ref="B36:E36"/>
  </mergeCells>
  <dataValidations count="14">
    <dataValidation type="list" allowBlank="1" showInputMessage="1" showErrorMessage="1" sqref="C7" xr:uid="{D311D3C8-5515-48F5-B7E7-B3EA9606CF23}">
      <formula1>VehicleColour</formula1>
    </dataValidation>
    <dataValidation type="list" allowBlank="1" showInputMessage="1" showErrorMessage="1" sqref="C6" xr:uid="{3A1486F8-E412-46AC-8371-3626FD7F4834}">
      <formula1>MotivePower</formula1>
    </dataValidation>
    <dataValidation type="list" allowBlank="1" showInputMessage="1" showErrorMessage="1" sqref="C28" xr:uid="{E2AD229A-4D6F-4E6A-96E7-254A1396740E}">
      <formula1>SalvageEstimateSource</formula1>
    </dataValidation>
    <dataValidation type="list" allowBlank="1" showInputMessage="1" showErrorMessage="1" sqref="C20" xr:uid="{14B4AB03-757A-447E-904F-3F31485F5F83}">
      <formula1>ReasonforNoWOVR</formula1>
    </dataValidation>
    <dataValidation type="list" allowBlank="1" showInputMessage="1" showErrorMessage="1" sqref="C18" xr:uid="{61C6245A-7806-4E14-8617-975A6FEE3BA8}">
      <formula1>SalvageDisposal</formula1>
    </dataValidation>
    <dataValidation type="list" allowBlank="1" showInputMessage="1" showErrorMessage="1" sqref="C16:C17 C19" xr:uid="{5D08E72E-9006-4C7F-BDDE-7DEC7AC709FD}">
      <formula1>ReplacementVehicle</formula1>
    </dataValidation>
    <dataValidation type="list" allowBlank="1" showInputMessage="1" showErrorMessage="1" sqref="C15" xr:uid="{86EA4377-E557-4C72-A31E-051E8E4F31DF}">
      <formula1>WOVRVehicleType</formula1>
    </dataValidation>
    <dataValidation type="list" allowBlank="1" showInputMessage="1" showErrorMessage="1" sqref="C32" xr:uid="{332CDEA7-B9A4-46CC-9CE8-B4A6A398B649}">
      <formula1>ReasonForNoEstimate</formula1>
    </dataValidation>
    <dataValidation type="list" allowBlank="1" showInputMessage="1" showErrorMessage="1" sqref="C31" xr:uid="{AC4DDF43-002A-4A9A-AB57-AFB21AD9103B}">
      <formula1>RepairEstimateObtained</formula1>
    </dataValidation>
    <dataValidation type="whole" operator="greaterThanOrEqual" allowBlank="1" showInputMessage="1" showErrorMessage="1" errorTitle="Total Loss Assessment" error="Only positive whole numeric values are permitted for Odometer, please remove any letters or other characters." sqref="C21" xr:uid="{3512E496-92B3-42EE-8F9D-876FB3ECDC93}">
      <formula1>0</formula1>
    </dataValidation>
    <dataValidation type="decimal" operator="greaterThanOrEqual" allowBlank="1" showInputMessage="1" showErrorMessage="1" errorTitle="Total Loss Assessment" error="Only numeric values are permitted for Hubometer or Hours, please remove any letters or other characters." sqref="C22" xr:uid="{A5334133-7A3B-4F75-9F7F-7FC1498616BE}">
      <formula1>0</formula1>
    </dataValidation>
    <dataValidation type="decimal" operator="greaterThanOrEqual" allowBlank="1" showInputMessage="1" showErrorMessage="1" errorTitle="Total Loss Assessment" error="Only numeric values are permitted for RUC's, please remove any letters or other characters." sqref="C23" xr:uid="{207436FC-CB8A-4A42-B093-682ABC564AC0}">
      <formula1>0</formula1>
    </dataValidation>
    <dataValidation type="whole" operator="greaterThan" allowBlank="1" showInputMessage="1" showErrorMessage="1" errorTitle="Total Loss Assessment" error="Only positive whole dollar values are permitted for Assessor Base PAV, please remove any decimal/cents values, letters or other characters." sqref="C25" xr:uid="{26CBCBBF-59F6-4713-A012-2A2173D16AC7}">
      <formula1>0</formula1>
    </dataValidation>
    <dataValidation type="whole" operator="greaterThanOrEqual" allowBlank="1" showInputMessage="1" showErrorMessage="1" errorTitle="Total Loss Assessment" error="Only whole dollar values are permitted for Salvage Estimate, please remove any decimal/cents values, letters or other characters." sqref="C27" xr:uid="{4CFA6795-A555-4FF8-9813-92321F7707DB}">
      <formula1>0</formula1>
    </dataValidation>
  </dataValidations>
  <pageMargins left="0.7" right="0.7" top="0.75" bottom="0.75" header="0.3" footer="0.3"/>
  <pageSetup paperSize="156" scale="67" fitToHeight="0" orientation="portrait" r:id="rId1"/>
  <headerFooter>
    <oddHeader>&amp;CTotal Loss 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ValidateTotalLoss">
                <anchor moveWithCells="1" sizeWithCells="1">
                  <from>
                    <xdr:col>2</xdr:col>
                    <xdr:colOff>180975</xdr:colOff>
                    <xdr:row>39</xdr:row>
                    <xdr:rowOff>123825</xdr:rowOff>
                  </from>
                  <to>
                    <xdr:col>3</xdr:col>
                    <xdr:colOff>123825</xdr:colOff>
                    <xdr:row>41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B71A5B-CD14-4BDA-84AE-44BD8BFF674F}">
          <x14:formula1>
            <xm:f>'Total loss Lookups'!$A$7:$A$8</xm:f>
          </x14:formula1>
          <xm:sqref>C14</xm:sqref>
        </x14:dataValidation>
        <x14:dataValidation type="list" allowBlank="1" showInputMessage="1" showErrorMessage="1" xr:uid="{B4FFC529-63DE-4C83-88D4-7941FC25280D}">
          <x14:formula1>
            <xm:f>'Total loss Lookups'!H41:H44</xm:f>
          </x14:formula1>
          <xm:sqref>C33</xm:sqref>
        </x14:dataValidation>
        <x14:dataValidation type="list" allowBlank="1" showInputMessage="1" showErrorMessage="1" xr:uid="{8668C2E4-AD2A-4DFA-B44A-CE2CABEAA3CB}">
          <x14:formula1>
            <xm:f>'Total loss Lookups'!H21:H30</xm:f>
          </x14:formula1>
          <xm:sqref>C29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88"/>
  <sheetViews>
    <sheetView showGridLines="0" zoomScale="110" zoomScaleNormal="110" workbookViewId="0">
      <selection activeCell="F12" sqref="F12"/>
    </sheetView>
  </sheetViews>
  <sheetFormatPr defaultColWidth="9.140625" defaultRowHeight="12.75" x14ac:dyDescent="0.2"/>
  <cols>
    <col min="1" max="1" width="0.5703125" style="4" customWidth="1"/>
    <col min="2" max="2" width="21.85546875" style="4" customWidth="1"/>
    <col min="3" max="3" width="11.5703125" style="4" customWidth="1"/>
    <col min="4" max="4" width="13" style="4" customWidth="1"/>
    <col min="5" max="5" width="14" style="4" customWidth="1"/>
    <col min="6" max="6" width="14.42578125" style="4" customWidth="1"/>
    <col min="7" max="7" width="13.85546875" style="4" customWidth="1"/>
    <col min="8" max="8" width="9.85546875" style="4" customWidth="1"/>
    <col min="9" max="11" width="14.5703125" style="4" customWidth="1"/>
    <col min="12" max="12" width="12.5703125" style="4" customWidth="1"/>
    <col min="13" max="16384" width="9.140625" style="4"/>
  </cols>
  <sheetData>
    <row r="1" spans="1:11" ht="2.25" customHeight="1" thickBot="1" x14ac:dyDescent="0.25"/>
    <row r="2" spans="1:11" x14ac:dyDescent="0.2">
      <c r="B2" s="5" t="s">
        <v>74</v>
      </c>
      <c r="C2" s="152" t="str">
        <f>IF(ISBLANK([0]!GC_YourRef), "", [0]!GC_YourRef)</f>
        <v>N008653405</v>
      </c>
      <c r="D2" s="153" t="str">
        <f>IF(ISBLANK(GC_YourRef), "", GC_YourRef)</f>
        <v>N008653405</v>
      </c>
      <c r="E2" s="154" t="str">
        <f>IF(ISBLANK(GC_YourRef), "", GC_YourRef)</f>
        <v>N008653405</v>
      </c>
      <c r="G2" s="15" t="s">
        <v>0</v>
      </c>
      <c r="H2" s="152" t="str">
        <f>IF(ISBLANK('Quote Assessment'!H2), "", 'Quote Assessment'!H2)</f>
        <v>LS Motors Ltd.</v>
      </c>
      <c r="I2" s="153"/>
      <c r="J2" s="153"/>
      <c r="K2" s="154"/>
    </row>
    <row r="3" spans="1:11" x14ac:dyDescent="0.2">
      <c r="B3" s="7" t="s">
        <v>80</v>
      </c>
      <c r="C3" s="155">
        <f>IF(ISBLANK([0]!Year), "", [0]!Year)</f>
        <v>2001</v>
      </c>
      <c r="D3" s="122">
        <f>IF(ISBLANK(Year), "", Year)</f>
        <v>2001</v>
      </c>
      <c r="E3" s="123">
        <f>IF(ISBLANK(Year), "", Year)</f>
        <v>2001</v>
      </c>
      <c r="G3" s="13" t="s">
        <v>77</v>
      </c>
      <c r="H3" s="155" t="str">
        <f>IF(ISBLANK('Quote Assessment'!H3), "", 'Quote Assessment'!H3)</f>
        <v/>
      </c>
      <c r="I3" s="122"/>
      <c r="J3" s="122"/>
      <c r="K3" s="123"/>
    </row>
    <row r="4" spans="1:11" ht="13.5" thickBot="1" x14ac:dyDescent="0.25">
      <c r="B4" s="8" t="s">
        <v>75</v>
      </c>
      <c r="C4" s="155" t="str">
        <f>IF(ISBLANK([0]!MakeModel), "", [0]!MakeModel)</f>
        <v>FORD</v>
      </c>
      <c r="D4" s="122" t="str">
        <f>IF(ISBLANK(MakeModel), "", MakeModel)</f>
        <v>FORD</v>
      </c>
      <c r="E4" s="123" t="str">
        <f>IF(ISBLANK(MakeModel), "", MakeModel)</f>
        <v>FORD</v>
      </c>
      <c r="G4" s="16" t="s">
        <v>79</v>
      </c>
      <c r="H4" s="210"/>
      <c r="I4" s="211"/>
      <c r="J4" s="211"/>
      <c r="K4" s="212"/>
    </row>
    <row r="5" spans="1:11" ht="13.5" thickBot="1" x14ac:dyDescent="0.25">
      <c r="B5" s="8" t="s">
        <v>76</v>
      </c>
      <c r="C5" s="155" t="str">
        <f>IF(ISBLANK([0]!Model), "", [0]!Model)</f>
        <v>F150 HARLEY-DAVIDSON PICKUP SUPER C REW</v>
      </c>
      <c r="D5" s="122" t="str">
        <f t="shared" ref="D5:E7" si="0">IF(ISBLANK(Model), "", Model)</f>
        <v>F150 HARLEY-DAVIDSON PICKUP SUPER C REW</v>
      </c>
      <c r="E5" s="123" t="str">
        <f t="shared" si="0"/>
        <v>F150 HARLEY-DAVIDSON PICKUP SUPER C REW</v>
      </c>
    </row>
    <row r="6" spans="1:11" x14ac:dyDescent="0.2">
      <c r="B6" s="9" t="s">
        <v>1</v>
      </c>
      <c r="C6" s="155" t="str">
        <f>IF(ISBLANK([0]!Rego), "", [0]!Rego)</f>
        <v>PCY383</v>
      </c>
      <c r="D6" s="122" t="str">
        <f t="shared" si="0"/>
        <v>F150 HARLEY-DAVIDSON PICKUP SUPER C REW</v>
      </c>
      <c r="E6" s="123" t="str">
        <f t="shared" si="0"/>
        <v>F150 HARLEY-DAVIDSON PICKUP SUPER C REW</v>
      </c>
      <c r="G6" s="5" t="s">
        <v>226</v>
      </c>
      <c r="H6" s="206" t="str">
        <f>IF(ISBLANK([0]!GC_GABRef), "", [0]!GC_GABRef)</f>
        <v>25/8864</v>
      </c>
      <c r="I6" s="207" t="str">
        <f>IF(ISBLANK(GC_GABRef), "", GC_GABRef)</f>
        <v>25/8864</v>
      </c>
      <c r="J6" s="17"/>
      <c r="K6" s="48"/>
    </row>
    <row r="7" spans="1:11" x14ac:dyDescent="0.2">
      <c r="B7" s="8" t="s">
        <v>102</v>
      </c>
      <c r="C7" s="155" t="str">
        <f>IF(ISBLANK([0]!LossAdjuster), "", [0]!LossAdjuster)</f>
        <v>Wayne Jones &amp; Associates</v>
      </c>
      <c r="D7" s="122" t="str">
        <f t="shared" si="0"/>
        <v>F150 HARLEY-DAVIDSON PICKUP SUPER C REW</v>
      </c>
      <c r="E7" s="123" t="str">
        <f t="shared" si="0"/>
        <v>F150 HARLEY-DAVIDSON PICKUP SUPER C REW</v>
      </c>
      <c r="G7" s="8" t="s">
        <v>205</v>
      </c>
      <c r="H7" s="149"/>
      <c r="I7" s="148"/>
      <c r="K7" s="49"/>
    </row>
    <row r="8" spans="1:11" ht="13.5" customHeight="1" thickBot="1" x14ac:dyDescent="0.25">
      <c r="B8" s="11" t="s">
        <v>103</v>
      </c>
      <c r="C8" s="208" t="str">
        <f>IF(ISBLANK([0]!Assessment_Mode), "", [0]!Assessment_Mode)</f>
        <v>Onsite Assessment</v>
      </c>
      <c r="D8" s="125"/>
      <c r="E8" s="126"/>
      <c r="G8" s="8" t="s">
        <v>206</v>
      </c>
      <c r="H8" s="149" t="str">
        <f>IF(ISBLANK([0]!GC_Insured), "", [0]!GC_Insured)</f>
        <v>Cameron Osbourne</v>
      </c>
      <c r="I8" s="148"/>
      <c r="K8" s="49"/>
    </row>
    <row r="9" spans="1:11" x14ac:dyDescent="0.2">
      <c r="G9" s="8" t="s">
        <v>207</v>
      </c>
      <c r="H9" s="150" t="str">
        <f>IF(ISBLANK('Quote Assessment'!H10), "", 'Quote Assessment'!H10)</f>
        <v>0272860834</v>
      </c>
      <c r="I9" s="151"/>
      <c r="K9" s="49"/>
    </row>
    <row r="10" spans="1:11" x14ac:dyDescent="0.2">
      <c r="G10" s="8" t="s">
        <v>208</v>
      </c>
      <c r="H10" s="21" t="s">
        <v>209</v>
      </c>
      <c r="I10" s="21" t="s">
        <v>210</v>
      </c>
      <c r="J10" s="21" t="s">
        <v>211</v>
      </c>
      <c r="K10" s="50" t="s">
        <v>212</v>
      </c>
    </row>
    <row r="11" spans="1:11" x14ac:dyDescent="0.2">
      <c r="G11" s="8" t="s">
        <v>213</v>
      </c>
      <c r="H11" s="21"/>
      <c r="I11" s="21" t="s">
        <v>214</v>
      </c>
      <c r="J11" s="21" t="s">
        <v>215</v>
      </c>
      <c r="K11" s="50" t="s">
        <v>216</v>
      </c>
    </row>
    <row r="12" spans="1:11" ht="13.5" thickBot="1" x14ac:dyDescent="0.25">
      <c r="G12" s="10" t="s">
        <v>43</v>
      </c>
      <c r="H12" s="23"/>
      <c r="I12" s="23" t="s">
        <v>217</v>
      </c>
      <c r="J12" s="23"/>
      <c r="K12" s="51"/>
    </row>
    <row r="13" spans="1:11" ht="15" x14ac:dyDescent="0.25">
      <c r="G13"/>
    </row>
    <row r="14" spans="1:11" ht="13.5" thickBot="1" x14ac:dyDescent="0.25">
      <c r="B14" s="26" t="s">
        <v>89</v>
      </c>
    </row>
    <row r="15" spans="1:11" ht="25.5" x14ac:dyDescent="0.2">
      <c r="B15" s="59" t="s">
        <v>84</v>
      </c>
      <c r="C15" s="209" t="s">
        <v>85</v>
      </c>
      <c r="D15" s="209"/>
      <c r="E15" s="209"/>
      <c r="F15" s="209"/>
      <c r="G15" s="209"/>
      <c r="H15" s="209"/>
      <c r="I15" s="209"/>
      <c r="J15" s="60" t="s">
        <v>98</v>
      </c>
      <c r="K15" s="61" t="s">
        <v>99</v>
      </c>
    </row>
    <row r="16" spans="1:11" x14ac:dyDescent="0.2">
      <c r="A16" s="62"/>
      <c r="B16" s="31"/>
      <c r="C16" s="115"/>
      <c r="D16" s="115"/>
      <c r="E16" s="115"/>
      <c r="F16" s="115"/>
      <c r="G16" s="115"/>
      <c r="H16" s="115"/>
      <c r="I16" s="115"/>
      <c r="J16" s="84"/>
      <c r="K16" s="85">
        <f t="shared" ref="K16:K20" si="1">J16</f>
        <v>0</v>
      </c>
    </row>
    <row r="17" spans="1:11" x14ac:dyDescent="0.2">
      <c r="A17" s="62"/>
      <c r="B17" s="31"/>
      <c r="C17" s="115"/>
      <c r="D17" s="115"/>
      <c r="E17" s="115"/>
      <c r="F17" s="115"/>
      <c r="G17" s="115"/>
      <c r="H17" s="115"/>
      <c r="I17" s="115"/>
      <c r="J17" s="84"/>
      <c r="K17" s="85">
        <f t="shared" si="1"/>
        <v>0</v>
      </c>
    </row>
    <row r="18" spans="1:11" x14ac:dyDescent="0.2">
      <c r="A18" s="62"/>
      <c r="B18" s="31"/>
      <c r="C18" s="115"/>
      <c r="D18" s="115"/>
      <c r="E18" s="115"/>
      <c r="F18" s="115"/>
      <c r="G18" s="115"/>
      <c r="H18" s="115"/>
      <c r="I18" s="115"/>
      <c r="J18" s="84"/>
      <c r="K18" s="85">
        <f t="shared" si="1"/>
        <v>0</v>
      </c>
    </row>
    <row r="19" spans="1:11" x14ac:dyDescent="0.2">
      <c r="A19" s="62"/>
      <c r="B19" s="33"/>
      <c r="C19" s="119"/>
      <c r="D19" s="119"/>
      <c r="E19" s="119"/>
      <c r="F19" s="119"/>
      <c r="G19" s="119"/>
      <c r="H19" s="119"/>
      <c r="I19" s="119"/>
      <c r="J19" s="86"/>
      <c r="K19" s="85">
        <f t="shared" si="1"/>
        <v>0</v>
      </c>
    </row>
    <row r="20" spans="1:11" ht="13.5" thickBot="1" x14ac:dyDescent="0.25">
      <c r="A20" s="62"/>
      <c r="B20" s="32"/>
      <c r="C20" s="116"/>
      <c r="D20" s="117"/>
      <c r="E20" s="117"/>
      <c r="F20" s="117"/>
      <c r="G20" s="117"/>
      <c r="H20" s="117"/>
      <c r="I20" s="118"/>
      <c r="J20" s="87"/>
      <c r="K20" s="88">
        <f t="shared" si="1"/>
        <v>0</v>
      </c>
    </row>
    <row r="21" spans="1:11" x14ac:dyDescent="0.2">
      <c r="G21" s="4" t="s">
        <v>91</v>
      </c>
      <c r="H21" s="29"/>
      <c r="J21" s="79">
        <f>SUM(J16:J20)</f>
        <v>0</v>
      </c>
      <c r="K21" s="79">
        <f>SUM(K16:K20)</f>
        <v>0</v>
      </c>
    </row>
    <row r="22" spans="1:11" x14ac:dyDescent="0.2">
      <c r="H22" s="29"/>
      <c r="J22" s="30"/>
      <c r="K22" s="30"/>
    </row>
    <row r="23" spans="1:11" ht="13.5" thickBot="1" x14ac:dyDescent="0.25">
      <c r="B23" s="26" t="s">
        <v>90</v>
      </c>
    </row>
    <row r="24" spans="1:11" ht="25.5" x14ac:dyDescent="0.2">
      <c r="B24" s="5" t="s">
        <v>84</v>
      </c>
      <c r="C24" s="114" t="s">
        <v>85</v>
      </c>
      <c r="D24" s="114"/>
      <c r="E24" s="114"/>
      <c r="F24" s="114"/>
      <c r="G24" s="114"/>
      <c r="H24" s="114"/>
      <c r="I24" s="114"/>
      <c r="J24" s="27" t="s">
        <v>100</v>
      </c>
      <c r="K24" s="52" t="s">
        <v>99</v>
      </c>
    </row>
    <row r="25" spans="1:11" x14ac:dyDescent="0.2">
      <c r="B25" s="31"/>
      <c r="C25" s="115"/>
      <c r="D25" s="115"/>
      <c r="E25" s="115"/>
      <c r="F25" s="115"/>
      <c r="G25" s="115"/>
      <c r="H25" s="115"/>
      <c r="I25" s="115"/>
      <c r="J25" s="84"/>
      <c r="K25" s="85">
        <f t="shared" ref="K25:K29" si="2">J25</f>
        <v>0</v>
      </c>
    </row>
    <row r="26" spans="1:11" x14ac:dyDescent="0.2">
      <c r="B26" s="31"/>
      <c r="C26" s="115"/>
      <c r="D26" s="115"/>
      <c r="E26" s="115"/>
      <c r="F26" s="115"/>
      <c r="G26" s="115"/>
      <c r="H26" s="115"/>
      <c r="I26" s="115"/>
      <c r="J26" s="84"/>
      <c r="K26" s="85">
        <f t="shared" si="2"/>
        <v>0</v>
      </c>
    </row>
    <row r="27" spans="1:11" x14ac:dyDescent="0.2">
      <c r="B27" s="31"/>
      <c r="C27" s="115"/>
      <c r="D27" s="115"/>
      <c r="E27" s="115"/>
      <c r="F27" s="115"/>
      <c r="G27" s="115"/>
      <c r="H27" s="115"/>
      <c r="I27" s="115"/>
      <c r="J27" s="84"/>
      <c r="K27" s="85">
        <f t="shared" si="2"/>
        <v>0</v>
      </c>
    </row>
    <row r="28" spans="1:11" x14ac:dyDescent="0.2">
      <c r="B28" s="33"/>
      <c r="C28" s="119"/>
      <c r="D28" s="119"/>
      <c r="E28" s="119"/>
      <c r="F28" s="119"/>
      <c r="G28" s="119"/>
      <c r="H28" s="119"/>
      <c r="I28" s="119"/>
      <c r="J28" s="86"/>
      <c r="K28" s="85">
        <f t="shared" si="2"/>
        <v>0</v>
      </c>
    </row>
    <row r="29" spans="1:11" ht="13.5" thickBot="1" x14ac:dyDescent="0.25">
      <c r="B29" s="32"/>
      <c r="C29" s="116"/>
      <c r="D29" s="117"/>
      <c r="E29" s="117"/>
      <c r="F29" s="117"/>
      <c r="G29" s="117"/>
      <c r="H29" s="117"/>
      <c r="I29" s="118"/>
      <c r="J29" s="87"/>
      <c r="K29" s="88">
        <f t="shared" si="2"/>
        <v>0</v>
      </c>
    </row>
    <row r="30" spans="1:11" x14ac:dyDescent="0.2">
      <c r="H30" s="136" t="s">
        <v>92</v>
      </c>
      <c r="I30" s="136"/>
      <c r="J30" s="79">
        <f>SUM(J25:J29)</f>
        <v>0</v>
      </c>
      <c r="K30" s="79">
        <f>SUM(K25:K29)</f>
        <v>0</v>
      </c>
    </row>
    <row r="31" spans="1:11" x14ac:dyDescent="0.2">
      <c r="H31" s="136" t="s">
        <v>93</v>
      </c>
      <c r="I31" s="136"/>
      <c r="J31" s="79">
        <f>SUM(J30+J21)</f>
        <v>0</v>
      </c>
      <c r="K31" s="79">
        <f>SUM(K30+K21)</f>
        <v>0</v>
      </c>
    </row>
    <row r="32" spans="1:11" x14ac:dyDescent="0.2">
      <c r="F32" s="29"/>
      <c r="G32" s="30"/>
      <c r="H32" s="29"/>
    </row>
    <row r="33" spans="2:11" x14ac:dyDescent="0.2">
      <c r="F33" s="29"/>
      <c r="G33" s="30"/>
      <c r="H33" s="29"/>
    </row>
    <row r="34" spans="2:11" ht="13.5" thickBot="1" x14ac:dyDescent="0.25">
      <c r="B34" s="26" t="s">
        <v>218</v>
      </c>
    </row>
    <row r="35" spans="2:11" ht="25.5" x14ac:dyDescent="0.2">
      <c r="B35" s="5" t="s">
        <v>84</v>
      </c>
      <c r="C35" s="72" t="s">
        <v>14</v>
      </c>
      <c r="D35" s="114" t="s">
        <v>85</v>
      </c>
      <c r="E35" s="114"/>
      <c r="F35" s="72" t="s">
        <v>200</v>
      </c>
      <c r="G35" s="27" t="s">
        <v>87</v>
      </c>
      <c r="H35" s="27" t="s">
        <v>86</v>
      </c>
      <c r="I35" s="27" t="s">
        <v>88</v>
      </c>
      <c r="J35" s="27" t="s">
        <v>98</v>
      </c>
      <c r="K35" s="52" t="s">
        <v>99</v>
      </c>
    </row>
    <row r="36" spans="2:11" x14ac:dyDescent="0.2">
      <c r="B36" s="31"/>
      <c r="C36" s="21"/>
      <c r="D36" s="115"/>
      <c r="E36" s="115"/>
      <c r="F36" s="21"/>
      <c r="G36" s="77"/>
      <c r="H36" s="35"/>
      <c r="I36" s="89">
        <f>ROUND(SUM(G36*H36),2)</f>
        <v>0</v>
      </c>
      <c r="J36" s="89">
        <f>ROUND((G36+I36)*F36, 2)</f>
        <v>0</v>
      </c>
      <c r="K36" s="90">
        <f t="shared" ref="K36:K40" si="3">J36</f>
        <v>0</v>
      </c>
    </row>
    <row r="37" spans="2:11" x14ac:dyDescent="0.2">
      <c r="B37" s="31"/>
      <c r="C37" s="21"/>
      <c r="D37" s="115"/>
      <c r="E37" s="115"/>
      <c r="F37" s="21"/>
      <c r="G37" s="77"/>
      <c r="H37" s="35"/>
      <c r="I37" s="89">
        <f t="shared" ref="I37:I40" si="4">ROUND(SUM(G37*H37),2)</f>
        <v>0</v>
      </c>
      <c r="J37" s="89">
        <f t="shared" ref="J37:J40" si="5">ROUND((G37+I37)*F37, 2)</f>
        <v>0</v>
      </c>
      <c r="K37" s="90">
        <f t="shared" si="3"/>
        <v>0</v>
      </c>
    </row>
    <row r="38" spans="2:11" x14ac:dyDescent="0.2">
      <c r="B38" s="31"/>
      <c r="C38" s="21"/>
      <c r="D38" s="115"/>
      <c r="E38" s="115"/>
      <c r="F38" s="21"/>
      <c r="G38" s="77"/>
      <c r="H38" s="35"/>
      <c r="I38" s="89">
        <f t="shared" si="4"/>
        <v>0</v>
      </c>
      <c r="J38" s="89">
        <f t="shared" si="5"/>
        <v>0</v>
      </c>
      <c r="K38" s="90">
        <f t="shared" si="3"/>
        <v>0</v>
      </c>
    </row>
    <row r="39" spans="2:11" x14ac:dyDescent="0.2">
      <c r="B39" s="33"/>
      <c r="C39" s="73"/>
      <c r="D39" s="192"/>
      <c r="E39" s="193"/>
      <c r="F39" s="73"/>
      <c r="G39" s="78"/>
      <c r="H39" s="57"/>
      <c r="I39" s="89">
        <f t="shared" si="4"/>
        <v>0</v>
      </c>
      <c r="J39" s="89">
        <f t="shared" si="5"/>
        <v>0</v>
      </c>
      <c r="K39" s="90">
        <f t="shared" si="3"/>
        <v>0</v>
      </c>
    </row>
    <row r="40" spans="2:11" ht="13.5" thickBot="1" x14ac:dyDescent="0.25">
      <c r="B40" s="32"/>
      <c r="C40" s="23"/>
      <c r="D40" s="116"/>
      <c r="E40" s="118"/>
      <c r="F40" s="23"/>
      <c r="G40" s="83"/>
      <c r="H40" s="58"/>
      <c r="I40" s="91">
        <f t="shared" si="4"/>
        <v>0</v>
      </c>
      <c r="J40" s="91">
        <f t="shared" si="5"/>
        <v>0</v>
      </c>
      <c r="K40" s="92">
        <f t="shared" si="3"/>
        <v>0</v>
      </c>
    </row>
    <row r="41" spans="2:11" x14ac:dyDescent="0.2">
      <c r="I41" s="4" t="s">
        <v>92</v>
      </c>
      <c r="J41" s="79">
        <f>SUM(J36:J40)</f>
        <v>0</v>
      </c>
      <c r="K41" s="79">
        <f>SUM(K36:K40)</f>
        <v>0</v>
      </c>
    </row>
    <row r="43" spans="2:11" ht="13.5" thickBot="1" x14ac:dyDescent="0.25">
      <c r="B43" s="26" t="s">
        <v>219</v>
      </c>
      <c r="K43" s="56"/>
    </row>
    <row r="44" spans="2:11" ht="25.5" x14ac:dyDescent="0.2">
      <c r="B44" s="5" t="s">
        <v>83</v>
      </c>
      <c r="C44" s="114" t="s">
        <v>84</v>
      </c>
      <c r="D44" s="114"/>
      <c r="E44" s="114" t="s">
        <v>85</v>
      </c>
      <c r="F44" s="114"/>
      <c r="G44" s="114"/>
      <c r="H44" s="138" t="s">
        <v>0</v>
      </c>
      <c r="I44" s="138"/>
      <c r="J44" s="27" t="s">
        <v>98</v>
      </c>
      <c r="K44" s="28" t="s">
        <v>99</v>
      </c>
    </row>
    <row r="45" spans="2:11" x14ac:dyDescent="0.2">
      <c r="B45" s="31"/>
      <c r="C45" s="115"/>
      <c r="D45" s="115"/>
      <c r="E45" s="115"/>
      <c r="F45" s="115"/>
      <c r="G45" s="115"/>
      <c r="H45" s="139"/>
      <c r="I45" s="139"/>
      <c r="J45" s="89"/>
      <c r="K45" s="90">
        <f t="shared" ref="K45:K49" si="6">J45</f>
        <v>0</v>
      </c>
    </row>
    <row r="46" spans="2:11" x14ac:dyDescent="0.2">
      <c r="B46" s="31"/>
      <c r="C46" s="115"/>
      <c r="D46" s="115"/>
      <c r="E46" s="115"/>
      <c r="F46" s="115"/>
      <c r="G46" s="115"/>
      <c r="H46" s="139"/>
      <c r="I46" s="139"/>
      <c r="J46" s="89"/>
      <c r="K46" s="90">
        <f t="shared" si="6"/>
        <v>0</v>
      </c>
    </row>
    <row r="47" spans="2:11" x14ac:dyDescent="0.2">
      <c r="B47" s="33"/>
      <c r="C47" s="119"/>
      <c r="D47" s="119"/>
      <c r="E47" s="119"/>
      <c r="F47" s="119"/>
      <c r="G47" s="119"/>
      <c r="H47" s="120"/>
      <c r="I47" s="120"/>
      <c r="J47" s="93"/>
      <c r="K47" s="90">
        <f t="shared" si="6"/>
        <v>0</v>
      </c>
    </row>
    <row r="48" spans="2:11" x14ac:dyDescent="0.2">
      <c r="B48" s="31"/>
      <c r="C48" s="194"/>
      <c r="D48" s="196"/>
      <c r="E48" s="194"/>
      <c r="F48" s="195"/>
      <c r="G48" s="196"/>
      <c r="H48" s="149"/>
      <c r="I48" s="148"/>
      <c r="J48" s="89"/>
      <c r="K48" s="90">
        <f t="shared" si="6"/>
        <v>0</v>
      </c>
    </row>
    <row r="49" spans="2:11" ht="13.5" thickBot="1" x14ac:dyDescent="0.25">
      <c r="B49" s="36"/>
      <c r="C49" s="198"/>
      <c r="D49" s="198"/>
      <c r="E49" s="198"/>
      <c r="F49" s="198"/>
      <c r="G49" s="198"/>
      <c r="H49" s="198"/>
      <c r="I49" s="198"/>
      <c r="J49" s="94"/>
      <c r="K49" s="92">
        <f t="shared" si="6"/>
        <v>0</v>
      </c>
    </row>
    <row r="50" spans="2:11" x14ac:dyDescent="0.2">
      <c r="I50" s="4" t="s">
        <v>92</v>
      </c>
      <c r="J50" s="76">
        <f>SUM(J45:J49)</f>
        <v>0</v>
      </c>
      <c r="K50" s="76">
        <f>SUM(K45:K49)</f>
        <v>0</v>
      </c>
    </row>
    <row r="51" spans="2:11" x14ac:dyDescent="0.2">
      <c r="J51" s="75"/>
      <c r="K51" s="75"/>
    </row>
    <row r="52" spans="2:11" x14ac:dyDescent="0.2">
      <c r="I52" s="4" t="s">
        <v>69</v>
      </c>
      <c r="J52" s="63">
        <f>SUM(J21+J30+J41+J50)</f>
        <v>0</v>
      </c>
      <c r="K52" s="63">
        <f>SUM(K21+K30+K41+K50)</f>
        <v>0</v>
      </c>
    </row>
    <row r="53" spans="2:11" x14ac:dyDescent="0.2">
      <c r="I53" s="4" t="s">
        <v>70</v>
      </c>
      <c r="J53" s="63">
        <f>J52*15%</f>
        <v>0</v>
      </c>
      <c r="K53" s="63">
        <f>K52*15%</f>
        <v>0</v>
      </c>
    </row>
    <row r="54" spans="2:11" x14ac:dyDescent="0.2">
      <c r="I54" s="4" t="s">
        <v>199</v>
      </c>
      <c r="J54" s="63">
        <f>J52+J53</f>
        <v>0</v>
      </c>
      <c r="K54" s="63">
        <f>K52+K53</f>
        <v>0</v>
      </c>
    </row>
    <row r="58" spans="2:11" ht="13.5" thickBot="1" x14ac:dyDescent="0.25"/>
    <row r="59" spans="2:11" ht="15.75" customHeight="1" thickBot="1" x14ac:dyDescent="0.25">
      <c r="B59" s="74" t="s">
        <v>94</v>
      </c>
      <c r="C59" s="202"/>
      <c r="D59" s="203"/>
      <c r="E59" s="204"/>
      <c r="F59" s="204"/>
      <c r="G59" s="204"/>
      <c r="H59" s="204"/>
      <c r="I59" s="204"/>
      <c r="J59" s="204"/>
      <c r="K59" s="205"/>
    </row>
    <row r="60" spans="2:11" x14ac:dyDescent="0.2">
      <c r="B60" s="130" t="s">
        <v>198</v>
      </c>
      <c r="C60" s="131"/>
      <c r="D60" s="131"/>
      <c r="E60" s="131"/>
      <c r="F60" s="131"/>
      <c r="G60" s="131"/>
      <c r="H60" s="131"/>
      <c r="I60" s="131"/>
      <c r="J60" s="131"/>
      <c r="K60" s="132"/>
    </row>
    <row r="61" spans="2:11" x14ac:dyDescent="0.2">
      <c r="B61" s="133"/>
      <c r="C61" s="134"/>
      <c r="D61" s="134"/>
      <c r="E61" s="134"/>
      <c r="F61" s="134"/>
      <c r="G61" s="134"/>
      <c r="H61" s="134"/>
      <c r="I61" s="134"/>
      <c r="J61" s="134"/>
      <c r="K61" s="135"/>
    </row>
    <row r="62" spans="2:11" x14ac:dyDescent="0.2">
      <c r="B62" s="121"/>
      <c r="C62" s="122"/>
      <c r="D62" s="122"/>
      <c r="E62" s="122"/>
      <c r="F62" s="122"/>
      <c r="G62" s="122"/>
      <c r="H62" s="122"/>
      <c r="I62" s="122"/>
      <c r="J62" s="122"/>
      <c r="K62" s="123"/>
    </row>
    <row r="63" spans="2:11" x14ac:dyDescent="0.2">
      <c r="B63" s="121"/>
      <c r="C63" s="122"/>
      <c r="D63" s="122"/>
      <c r="E63" s="122"/>
      <c r="F63" s="122"/>
      <c r="G63" s="122"/>
      <c r="H63" s="122"/>
      <c r="I63" s="122"/>
      <c r="J63" s="122"/>
      <c r="K63" s="123"/>
    </row>
    <row r="64" spans="2:11" x14ac:dyDescent="0.2">
      <c r="B64" s="121"/>
      <c r="C64" s="122"/>
      <c r="D64" s="122"/>
      <c r="E64" s="122"/>
      <c r="F64" s="122"/>
      <c r="G64" s="122"/>
      <c r="H64" s="122"/>
      <c r="I64" s="122"/>
      <c r="J64" s="122"/>
      <c r="K64" s="123"/>
    </row>
    <row r="65" spans="2:11" ht="13.5" thickBot="1" x14ac:dyDescent="0.25">
      <c r="B65" s="124"/>
      <c r="C65" s="125"/>
      <c r="D65" s="125"/>
      <c r="E65" s="125"/>
      <c r="F65" s="125"/>
      <c r="G65" s="125"/>
      <c r="H65" s="125"/>
      <c r="I65" s="125"/>
      <c r="J65" s="125"/>
      <c r="K65" s="126"/>
    </row>
    <row r="66" spans="2:11" x14ac:dyDescent="0.2">
      <c r="B66" s="127" t="s">
        <v>193</v>
      </c>
      <c r="C66" s="128"/>
      <c r="D66" s="128"/>
      <c r="E66" s="128"/>
      <c r="F66" s="128"/>
      <c r="G66" s="128"/>
      <c r="H66" s="128"/>
      <c r="I66" s="128"/>
      <c r="J66" s="128"/>
      <c r="K66" s="129"/>
    </row>
    <row r="67" spans="2:11" x14ac:dyDescent="0.2">
      <c r="B67" s="144" t="s">
        <v>194</v>
      </c>
      <c r="C67" s="145"/>
      <c r="D67" s="145"/>
      <c r="E67" s="145"/>
      <c r="F67" s="145"/>
      <c r="G67" s="145"/>
      <c r="H67" s="145"/>
      <c r="I67" s="145"/>
      <c r="J67" s="145"/>
      <c r="K67" s="146"/>
    </row>
    <row r="68" spans="2:11" x14ac:dyDescent="0.2">
      <c r="B68" s="144" t="s">
        <v>195</v>
      </c>
      <c r="C68" s="145"/>
      <c r="D68" s="145"/>
      <c r="E68" s="145"/>
      <c r="F68" s="145"/>
      <c r="G68" s="145"/>
      <c r="H68" s="145"/>
      <c r="I68" s="145"/>
      <c r="J68" s="145"/>
      <c r="K68" s="146"/>
    </row>
    <row r="69" spans="2:11" x14ac:dyDescent="0.2">
      <c r="B69" s="144" t="s">
        <v>196</v>
      </c>
      <c r="C69" s="145"/>
      <c r="D69" s="145"/>
      <c r="E69" s="145"/>
      <c r="F69" s="145"/>
      <c r="G69" s="145"/>
      <c r="H69" s="145"/>
      <c r="I69" s="145"/>
      <c r="J69" s="145"/>
      <c r="K69" s="146"/>
    </row>
    <row r="70" spans="2:11" x14ac:dyDescent="0.2">
      <c r="B70" s="144" t="s">
        <v>197</v>
      </c>
      <c r="C70" s="145"/>
      <c r="D70" s="145"/>
      <c r="E70" s="145"/>
      <c r="F70" s="145"/>
      <c r="G70" s="145"/>
      <c r="H70" s="145"/>
      <c r="I70" s="145"/>
      <c r="J70" s="145"/>
      <c r="K70" s="146"/>
    </row>
    <row r="71" spans="2:11" ht="13.5" thickBot="1" x14ac:dyDescent="0.25">
      <c r="B71" s="40" t="s">
        <v>223</v>
      </c>
      <c r="C71" s="41"/>
      <c r="D71" s="41"/>
      <c r="E71" s="41"/>
      <c r="F71" s="41"/>
      <c r="G71" s="41"/>
      <c r="H71" s="41"/>
      <c r="I71" s="41"/>
      <c r="J71" s="41"/>
      <c r="K71" s="53"/>
    </row>
    <row r="72" spans="2:11" x14ac:dyDescent="0.2">
      <c r="B72" s="43" t="s">
        <v>101</v>
      </c>
      <c r="C72" s="199" t="str">
        <f>IF(ISBLANK([0]!AgreedBy), "", [0]!AgreedBy)</f>
        <v>Warren Paton</v>
      </c>
      <c r="D72" s="200"/>
      <c r="E72" s="200"/>
      <c r="F72" s="200"/>
      <c r="G72" s="200"/>
      <c r="H72" s="200"/>
      <c r="I72" s="200"/>
      <c r="J72" s="200"/>
      <c r="K72" s="201"/>
    </row>
    <row r="73" spans="2:11" ht="13.5" thickBot="1" x14ac:dyDescent="0.25">
      <c r="B73" s="10" t="s">
        <v>95</v>
      </c>
      <c r="C73" s="116"/>
      <c r="D73" s="117"/>
      <c r="E73" s="117"/>
      <c r="F73" s="117"/>
      <c r="G73" s="117"/>
      <c r="H73" s="117"/>
      <c r="I73" s="117"/>
      <c r="J73" s="117"/>
      <c r="K73" s="197"/>
    </row>
    <row r="74" spans="2:11" x14ac:dyDescent="0.2">
      <c r="B74" s="44" t="s">
        <v>220</v>
      </c>
      <c r="C74" s="45"/>
      <c r="D74" s="45"/>
      <c r="E74" s="45"/>
      <c r="F74" s="45"/>
      <c r="G74" s="45"/>
      <c r="H74" s="45"/>
      <c r="I74" s="45"/>
      <c r="J74" s="45"/>
      <c r="K74" s="54"/>
    </row>
    <row r="75" spans="2:11" x14ac:dyDescent="0.2">
      <c r="B75" s="44" t="s">
        <v>221</v>
      </c>
      <c r="C75" s="45"/>
      <c r="D75" s="45"/>
      <c r="E75" s="45"/>
      <c r="F75" s="45"/>
      <c r="G75" s="45"/>
      <c r="H75" s="45"/>
      <c r="I75" s="45"/>
      <c r="J75" s="45"/>
      <c r="K75" s="54"/>
    </row>
    <row r="76" spans="2:11" ht="13.5" thickBot="1" x14ac:dyDescent="0.25">
      <c r="B76" s="40" t="s">
        <v>222</v>
      </c>
      <c r="C76" s="41"/>
      <c r="D76" s="41"/>
      <c r="E76" s="41"/>
      <c r="F76" s="41"/>
      <c r="G76" s="41"/>
      <c r="H76" s="41"/>
      <c r="I76" s="41"/>
      <c r="J76" s="41"/>
      <c r="K76" s="53"/>
    </row>
    <row r="77" spans="2:11" x14ac:dyDescent="0.2">
      <c r="B77" s="137"/>
      <c r="C77" s="137"/>
      <c r="D77" s="137"/>
      <c r="E77" s="137"/>
      <c r="F77" s="137"/>
      <c r="G77" s="137"/>
      <c r="H77" s="137"/>
      <c r="I77" s="137"/>
      <c r="J77" s="137"/>
      <c r="K77" s="137"/>
    </row>
    <row r="78" spans="2:11" x14ac:dyDescent="0.2">
      <c r="B78" s="136"/>
      <c r="C78" s="136"/>
    </row>
    <row r="79" spans="2:11" x14ac:dyDescent="0.2">
      <c r="B79" s="136"/>
      <c r="C79" s="136"/>
    </row>
    <row r="80" spans="2:11" x14ac:dyDescent="0.2">
      <c r="B80" s="136"/>
      <c r="C80" s="136"/>
    </row>
    <row r="81" spans="2:3" x14ac:dyDescent="0.2">
      <c r="B81" s="136"/>
      <c r="C81" s="136"/>
    </row>
    <row r="82" spans="2:3" x14ac:dyDescent="0.2">
      <c r="B82" s="136"/>
      <c r="C82" s="136"/>
    </row>
    <row r="83" spans="2:3" x14ac:dyDescent="0.2">
      <c r="B83" s="136"/>
      <c r="C83" s="136"/>
    </row>
    <row r="84" spans="2:3" x14ac:dyDescent="0.2">
      <c r="B84" s="136"/>
      <c r="C84" s="136"/>
    </row>
    <row r="85" spans="2:3" ht="15.75" customHeight="1" x14ac:dyDescent="0.2">
      <c r="B85" s="136"/>
      <c r="C85" s="136"/>
    </row>
    <row r="86" spans="2:3" x14ac:dyDescent="0.2">
      <c r="B86" s="136"/>
      <c r="C86" s="136"/>
    </row>
    <row r="87" spans="2:3" x14ac:dyDescent="0.2">
      <c r="B87" s="136"/>
      <c r="C87" s="136"/>
    </row>
    <row r="88" spans="2:3" x14ac:dyDescent="0.2">
      <c r="B88" s="136"/>
      <c r="C88" s="136"/>
    </row>
  </sheetData>
  <mergeCells count="79">
    <mergeCell ref="C15:I15"/>
    <mergeCell ref="C17:I17"/>
    <mergeCell ref="C18:I18"/>
    <mergeCell ref="C20:I20"/>
    <mergeCell ref="C2:E2"/>
    <mergeCell ref="H2:K2"/>
    <mergeCell ref="C3:E3"/>
    <mergeCell ref="H3:K3"/>
    <mergeCell ref="C4:E4"/>
    <mergeCell ref="H4:K4"/>
    <mergeCell ref="B66:K66"/>
    <mergeCell ref="B67:K67"/>
    <mergeCell ref="B68:K68"/>
    <mergeCell ref="C5:E5"/>
    <mergeCell ref="C6:E6"/>
    <mergeCell ref="H6:I6"/>
    <mergeCell ref="C7:E7"/>
    <mergeCell ref="H7:I7"/>
    <mergeCell ref="C8:E8"/>
    <mergeCell ref="H8:I8"/>
    <mergeCell ref="H9:I9"/>
    <mergeCell ref="C16:I16"/>
    <mergeCell ref="C26:I26"/>
    <mergeCell ref="C25:I25"/>
    <mergeCell ref="C24:I24"/>
    <mergeCell ref="C19:I19"/>
    <mergeCell ref="B88:C88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87:C87"/>
    <mergeCell ref="B77:K77"/>
    <mergeCell ref="C73:K73"/>
    <mergeCell ref="B61:K61"/>
    <mergeCell ref="C49:D49"/>
    <mergeCell ref="E49:G49"/>
    <mergeCell ref="H49:I49"/>
    <mergeCell ref="B69:K69"/>
    <mergeCell ref="B70:K70"/>
    <mergeCell ref="C72:K72"/>
    <mergeCell ref="B60:K60"/>
    <mergeCell ref="B62:K62"/>
    <mergeCell ref="B63:K63"/>
    <mergeCell ref="B64:K64"/>
    <mergeCell ref="B65:K65"/>
    <mergeCell ref="C59:D59"/>
    <mergeCell ref="E59:K59"/>
    <mergeCell ref="C44:D44"/>
    <mergeCell ref="E44:G44"/>
    <mergeCell ref="H44:I44"/>
    <mergeCell ref="E48:G48"/>
    <mergeCell ref="H48:I48"/>
    <mergeCell ref="E45:G45"/>
    <mergeCell ref="H45:I45"/>
    <mergeCell ref="C48:D48"/>
    <mergeCell ref="C46:D46"/>
    <mergeCell ref="E46:G46"/>
    <mergeCell ref="H46:I46"/>
    <mergeCell ref="C47:D47"/>
    <mergeCell ref="E47:G47"/>
    <mergeCell ref="C45:D45"/>
    <mergeCell ref="H47:I47"/>
    <mergeCell ref="C27:I27"/>
    <mergeCell ref="D37:E37"/>
    <mergeCell ref="D38:E38"/>
    <mergeCell ref="D39:E39"/>
    <mergeCell ref="D40:E40"/>
    <mergeCell ref="H30:I30"/>
    <mergeCell ref="C28:I28"/>
    <mergeCell ref="C29:I29"/>
    <mergeCell ref="H31:I31"/>
    <mergeCell ref="D35:E35"/>
    <mergeCell ref="D36:E36"/>
  </mergeCells>
  <conditionalFormatting sqref="C11">
    <cfRule type="containsText" dxfId="2" priority="10" operator="containsText" text="Yes">
      <formula>NOT(ISERROR(SEARCH("Yes",C11)))</formula>
    </cfRule>
  </conditionalFormatting>
  <conditionalFormatting sqref="C10">
    <cfRule type="containsText" dxfId="1" priority="9" operator="containsText" text="Yes">
      <formula>NOT(ISERROR(SEARCH("Yes",C10)))</formula>
    </cfRule>
  </conditionalFormatting>
  <conditionalFormatting sqref="K16:K20 K25:K29 K36:K40 K45:K49">
    <cfRule type="expression" dxfId="0" priority="8">
      <formula>AND($K16&lt;&gt;"", $K16&lt;&gt;0, $J16&lt;&gt;$K16)</formula>
    </cfRule>
  </conditionalFormatting>
  <dataValidations count="8">
    <dataValidation type="whole" allowBlank="1" showInputMessage="1" showErrorMessage="1" errorTitle="Quantity" error="Value must be a whole number" sqref="F36" xr:uid="{00000000-0002-0000-0300-00000B000000}">
      <formula1>0</formula1>
      <formula2>1000000</formula2>
    </dataValidation>
    <dataValidation type="list" allowBlank="1" showInputMessage="1" showErrorMessage="1" sqref="B16:B20" xr:uid="{00000000-0002-0000-0300-00000A000000}">
      <formula1>LabourType</formula1>
    </dataValidation>
    <dataValidation type="list" allowBlank="1" showInputMessage="1" showErrorMessage="1" sqref="H36:H40" xr:uid="{00000000-0002-0000-0300-000004000000}">
      <formula1>MarkUp</formula1>
    </dataValidation>
    <dataValidation type="list" allowBlank="1" showInputMessage="1" showErrorMessage="1" sqref="B36:B40" xr:uid="{00000000-0002-0000-0300-000005000000}">
      <formula1>PartsType</formula1>
    </dataValidation>
    <dataValidation type="whole" allowBlank="1" showInputMessage="1" showErrorMessage="1" sqref="F37:F40" xr:uid="{00000000-0002-0000-0300-00000C000000}">
      <formula1>0</formula1>
      <formula2>1000000</formula2>
    </dataValidation>
    <dataValidation type="list" allowBlank="1" showInputMessage="1" showErrorMessage="1" sqref="B25:B29" xr:uid="{00000000-0002-0000-0300-000006000000}">
      <formula1>PaintType</formula1>
    </dataValidation>
    <dataValidation type="list" allowBlank="1" showInputMessage="1" showErrorMessage="1" sqref="C45:C49 D45:D47" xr:uid="{AE7826F1-8AAC-4328-BAAC-8F8FECAB8FF4}">
      <formula1>SubletType</formula1>
    </dataValidation>
    <dataValidation type="list" allowBlank="1" showInputMessage="1" showErrorMessage="1" sqref="B45:B49" xr:uid="{B0914452-EB2A-4F71-872E-8E9C7DC276C6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70" fitToHeight="0" orientation="portrait" r:id="rId1"/>
  <headerFooter>
    <oddHeader>&amp;CAssessment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lidateSupplementary">
                <anchor moveWithCells="1" sizeWithCells="1">
                  <from>
                    <xdr:col>4</xdr:col>
                    <xdr:colOff>809625</xdr:colOff>
                    <xdr:row>54</xdr:row>
                    <xdr:rowOff>104775</xdr:rowOff>
                  </from>
                  <to>
                    <xdr:col>6</xdr:col>
                    <xdr:colOff>828675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ddLabourDetailLine">
                <anchor moveWithCells="1" sizeWithCells="1">
                  <from>
                    <xdr:col>9</xdr:col>
                    <xdr:colOff>904875</xdr:colOff>
                    <xdr:row>12</xdr:row>
                    <xdr:rowOff>85725</xdr:rowOff>
                  </from>
                  <to>
                    <xdr:col>10</xdr:col>
                    <xdr:colOff>952500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ddPaintDetailLine">
                <anchor moveWithCells="1" sizeWithCells="1">
                  <from>
                    <xdr:col>9</xdr:col>
                    <xdr:colOff>885825</xdr:colOff>
                    <xdr:row>21</xdr:row>
                    <xdr:rowOff>85725</xdr:rowOff>
                  </from>
                  <to>
                    <xdr:col>10</xdr:col>
                    <xdr:colOff>952500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PartsDetailLine">
                <anchor moveWithCells="1" sizeWithCells="1">
                  <from>
                    <xdr:col>9</xdr:col>
                    <xdr:colOff>885825</xdr:colOff>
                    <xdr:row>32</xdr:row>
                    <xdr:rowOff>104775</xdr:rowOff>
                  </from>
                  <to>
                    <xdr:col>10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885825</xdr:colOff>
                    <xdr:row>41</xdr:row>
                    <xdr:rowOff>85725</xdr:rowOff>
                  </from>
                  <to>
                    <xdr:col>10</xdr:col>
                    <xdr:colOff>942975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41</xdr:row>
                    <xdr:rowOff>104775</xdr:rowOff>
                  </from>
                  <to>
                    <xdr:col>10</xdr:col>
                    <xdr:colOff>942975</xdr:colOff>
                    <xdr:row>42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5036166D-2B43-441E-9F77-204B57E1DC89}">
          <x14:formula1>
            <xm:f>'Assessment Lookups'!$I$75:$I$76</xm:f>
          </x14:formula1>
          <xm:sqref>J25:K29 J36:K40 J16:K20 J45:K49</xm:sqref>
        </x14:dataValidation>
        <x14:dataValidation type="list" allowBlank="1" showInputMessage="1" showErrorMessage="1" xr:uid="{D727C471-8EC9-4F38-80DB-11B5420C8C8F}">
          <x14:formula1>
            <xm:f>'Assessment Lookups'!$A$28:$A$72</xm:f>
          </x14:formula1>
          <xm:sqref>C45:C49</xm:sqref>
        </x14:dataValidation>
        <x14:dataValidation type="list" allowBlank="1" showInputMessage="1" showErrorMessage="1" xr:uid="{2E0CC386-3019-4F32-9670-32377C240271}">
          <x14:formula1>
            <xm:f>'Assessment Lookups'!$A$24:$A$25</xm:f>
          </x14:formula1>
          <xm:sqref>B45:B49</xm:sqref>
        </x14:dataValidation>
        <x14:dataValidation type="list" allowBlank="1" showInputMessage="1" showErrorMessage="1" xr:uid="{072D8B62-BB73-4CF4-A05A-388EBA49D4DE}">
          <x14:formula1>
            <xm:f>'Assessment Lookups'!$A$86:$A$87</xm:f>
          </x14:formula1>
          <xm:sqref>C59</xm:sqref>
        </x14:dataValidation>
        <x14:dataValidation type="list" allowBlank="1" showInputMessage="1" showErrorMessage="1" xr:uid="{2AEC52A6-694C-4C26-AA5C-0489ED4AFE17}">
          <x14:formula1>
            <xm:f>'Total loss Lookups'!$A$7:$A$8</xm:f>
          </x14:formula1>
          <xm:sqref>C8:E8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3931-85A7-4F38-93E4-90D73683A268}">
  <sheetPr codeName="Sheet6"/>
  <dimension ref="A1:B3"/>
  <sheetViews>
    <sheetView workbookViewId="0">
      <selection activeCell="B4" sqref="B4"/>
    </sheetView>
  </sheetViews>
  <sheetFormatPr defaultRowHeight="15" x14ac:dyDescent="0.25"/>
  <cols>
    <col min="1" max="1" width="16.5703125" customWidth="1"/>
    <col min="2" max="2" width="18.42578125" customWidth="1"/>
  </cols>
  <sheetData>
    <row r="1" spans="1:2" x14ac:dyDescent="0.25">
      <c r="A1" t="s">
        <v>231</v>
      </c>
      <c r="B1" t="s">
        <v>232</v>
      </c>
    </row>
    <row r="2" spans="1:2" x14ac:dyDescent="0.25">
      <c r="A2" t="s">
        <v>233</v>
      </c>
      <c r="B2" s="2">
        <v>1.08</v>
      </c>
    </row>
    <row r="3" spans="1:2" x14ac:dyDescent="0.25">
      <c r="B3" s="2"/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7"/>
  <sheetViews>
    <sheetView zoomScaleNormal="100" workbookViewId="0">
      <selection activeCell="A89" sqref="A89"/>
    </sheetView>
  </sheetViews>
  <sheetFormatPr defaultRowHeight="15" x14ac:dyDescent="0.25"/>
  <sheetData>
    <row r="1" spans="1:6" x14ac:dyDescent="0.25">
      <c r="A1" t="s">
        <v>3</v>
      </c>
      <c r="F1" t="s">
        <v>97</v>
      </c>
    </row>
    <row r="2" spans="1:6" x14ac:dyDescent="0.25">
      <c r="A2" t="s">
        <v>8</v>
      </c>
      <c r="F2" t="s">
        <v>82</v>
      </c>
    </row>
    <row r="3" spans="1:6" x14ac:dyDescent="0.25">
      <c r="A3" t="s">
        <v>4</v>
      </c>
    </row>
    <row r="4" spans="1:6" x14ac:dyDescent="0.25">
      <c r="A4" t="s">
        <v>9</v>
      </c>
      <c r="F4" t="s">
        <v>104</v>
      </c>
    </row>
    <row r="5" spans="1:6" x14ac:dyDescent="0.25">
      <c r="A5" t="s">
        <v>7</v>
      </c>
      <c r="F5" t="s">
        <v>107</v>
      </c>
    </row>
    <row r="6" spans="1:6" x14ac:dyDescent="0.25">
      <c r="A6" t="s">
        <v>5</v>
      </c>
      <c r="F6" t="s">
        <v>108</v>
      </c>
    </row>
    <row r="7" spans="1:6" x14ac:dyDescent="0.25">
      <c r="A7" t="s">
        <v>6</v>
      </c>
    </row>
    <row r="8" spans="1:6" x14ac:dyDescent="0.25">
      <c r="F8" t="s">
        <v>192</v>
      </c>
    </row>
    <row r="9" spans="1:6" x14ac:dyDescent="0.25">
      <c r="A9" t="s">
        <v>10</v>
      </c>
      <c r="F9" s="1">
        <v>0.1</v>
      </c>
    </row>
    <row r="10" spans="1:6" x14ac:dyDescent="0.25">
      <c r="A10" t="s">
        <v>11</v>
      </c>
      <c r="F10" s="1">
        <v>0.15</v>
      </c>
    </row>
    <row r="11" spans="1:6" x14ac:dyDescent="0.25">
      <c r="A11" t="s">
        <v>13</v>
      </c>
      <c r="F11" s="1">
        <v>0.2</v>
      </c>
    </row>
    <row r="12" spans="1:6" x14ac:dyDescent="0.25">
      <c r="A12" t="s">
        <v>12</v>
      </c>
    </row>
    <row r="14" spans="1:6" x14ac:dyDescent="0.25">
      <c r="A14" t="s">
        <v>15</v>
      </c>
    </row>
    <row r="15" spans="1:6" x14ac:dyDescent="0.25">
      <c r="A15" t="s">
        <v>20</v>
      </c>
    </row>
    <row r="16" spans="1:6" x14ac:dyDescent="0.25">
      <c r="A16" t="s">
        <v>22</v>
      </c>
    </row>
    <row r="17" spans="1:1" x14ac:dyDescent="0.25">
      <c r="A17" t="s">
        <v>21</v>
      </c>
    </row>
    <row r="18" spans="1:1" x14ac:dyDescent="0.25">
      <c r="A18" t="s">
        <v>18</v>
      </c>
    </row>
    <row r="19" spans="1:1" x14ac:dyDescent="0.25">
      <c r="A19" t="s">
        <v>17</v>
      </c>
    </row>
    <row r="20" spans="1:1" x14ac:dyDescent="0.25">
      <c r="A20" t="s">
        <v>19</v>
      </c>
    </row>
    <row r="21" spans="1:1" x14ac:dyDescent="0.25">
      <c r="A21" t="s">
        <v>16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7" spans="1:1" x14ac:dyDescent="0.25">
      <c r="A27" t="s">
        <v>81</v>
      </c>
    </row>
    <row r="28" spans="1:1" x14ac:dyDescent="0.25">
      <c r="A28" t="s">
        <v>59</v>
      </c>
    </row>
    <row r="29" spans="1:1" x14ac:dyDescent="0.25">
      <c r="A29" t="s">
        <v>30</v>
      </c>
    </row>
    <row r="30" spans="1:1" x14ac:dyDescent="0.25">
      <c r="A30" t="s">
        <v>29</v>
      </c>
    </row>
    <row r="31" spans="1:1" x14ac:dyDescent="0.25">
      <c r="A31" t="s">
        <v>64</v>
      </c>
    </row>
    <row r="32" spans="1:1" x14ac:dyDescent="0.25">
      <c r="A32" t="s">
        <v>27</v>
      </c>
    </row>
    <row r="33" spans="1:1" x14ac:dyDescent="0.25">
      <c r="A33" t="s">
        <v>56</v>
      </c>
    </row>
    <row r="34" spans="1:1" x14ac:dyDescent="0.25">
      <c r="A34" t="s">
        <v>36</v>
      </c>
    </row>
    <row r="35" spans="1:1" x14ac:dyDescent="0.25">
      <c r="A35" t="s">
        <v>33</v>
      </c>
    </row>
    <row r="36" spans="1:1" x14ac:dyDescent="0.25">
      <c r="A36" t="s">
        <v>60</v>
      </c>
    </row>
    <row r="37" spans="1:1" x14ac:dyDescent="0.25">
      <c r="A37" t="s">
        <v>68</v>
      </c>
    </row>
    <row r="38" spans="1:1" x14ac:dyDescent="0.25">
      <c r="A38" t="s">
        <v>44</v>
      </c>
    </row>
    <row r="39" spans="1:1" x14ac:dyDescent="0.25">
      <c r="A39" t="s">
        <v>63</v>
      </c>
    </row>
    <row r="40" spans="1:1" x14ac:dyDescent="0.25">
      <c r="A40" t="s">
        <v>57</v>
      </c>
    </row>
    <row r="41" spans="1:1" x14ac:dyDescent="0.25">
      <c r="A41" t="s">
        <v>45</v>
      </c>
    </row>
    <row r="42" spans="1:1" x14ac:dyDescent="0.25">
      <c r="A42" t="s">
        <v>52</v>
      </c>
    </row>
    <row r="43" spans="1:1" x14ac:dyDescent="0.25">
      <c r="A43" t="s">
        <v>53</v>
      </c>
    </row>
    <row r="44" spans="1:1" x14ac:dyDescent="0.25">
      <c r="A44" t="s">
        <v>54</v>
      </c>
    </row>
    <row r="45" spans="1:1" x14ac:dyDescent="0.25">
      <c r="A45" t="s">
        <v>32</v>
      </c>
    </row>
    <row r="46" spans="1:1" x14ac:dyDescent="0.25">
      <c r="A46" t="s">
        <v>39</v>
      </c>
    </row>
    <row r="47" spans="1:1" x14ac:dyDescent="0.25">
      <c r="A47" t="s">
        <v>58</v>
      </c>
    </row>
    <row r="48" spans="1:1" x14ac:dyDescent="0.25">
      <c r="A48" t="s">
        <v>106</v>
      </c>
    </row>
    <row r="49" spans="1:1" x14ac:dyDescent="0.25">
      <c r="A49" t="s">
        <v>41</v>
      </c>
    </row>
    <row r="50" spans="1:1" x14ac:dyDescent="0.25">
      <c r="A50" t="s">
        <v>46</v>
      </c>
    </row>
    <row r="51" spans="1:1" x14ac:dyDescent="0.25">
      <c r="A51" t="s">
        <v>37</v>
      </c>
    </row>
    <row r="52" spans="1:1" x14ac:dyDescent="0.25">
      <c r="A52" t="s">
        <v>55</v>
      </c>
    </row>
    <row r="53" spans="1:1" x14ac:dyDescent="0.25">
      <c r="A53" t="s">
        <v>12</v>
      </c>
    </row>
    <row r="54" spans="1:1" x14ac:dyDescent="0.25">
      <c r="A54" t="s">
        <v>65</v>
      </c>
    </row>
    <row r="55" spans="1:1" x14ac:dyDescent="0.25">
      <c r="A55" t="s">
        <v>26</v>
      </c>
    </row>
    <row r="56" spans="1:1" x14ac:dyDescent="0.25">
      <c r="A56" t="s">
        <v>28</v>
      </c>
    </row>
    <row r="57" spans="1:1" x14ac:dyDescent="0.25">
      <c r="A57" t="s">
        <v>34</v>
      </c>
    </row>
    <row r="58" spans="1:1" x14ac:dyDescent="0.25">
      <c r="A58" t="s">
        <v>35</v>
      </c>
    </row>
    <row r="59" spans="1:1" x14ac:dyDescent="0.25">
      <c r="A59" t="s">
        <v>66</v>
      </c>
    </row>
    <row r="60" spans="1:1" x14ac:dyDescent="0.25">
      <c r="A60" t="s">
        <v>62</v>
      </c>
    </row>
    <row r="61" spans="1:1" x14ac:dyDescent="0.25">
      <c r="A61" t="s">
        <v>48</v>
      </c>
    </row>
    <row r="62" spans="1:1" x14ac:dyDescent="0.25">
      <c r="A62" t="s">
        <v>67</v>
      </c>
    </row>
    <row r="63" spans="1:1" x14ac:dyDescent="0.25">
      <c r="A63" t="s">
        <v>40</v>
      </c>
    </row>
    <row r="64" spans="1:1" x14ac:dyDescent="0.25">
      <c r="A64" t="s">
        <v>61</v>
      </c>
    </row>
    <row r="65" spans="1:9" x14ac:dyDescent="0.25">
      <c r="A65" t="s">
        <v>38</v>
      </c>
    </row>
    <row r="66" spans="1:9" x14ac:dyDescent="0.25">
      <c r="A66" t="s">
        <v>42</v>
      </c>
    </row>
    <row r="67" spans="1:9" x14ac:dyDescent="0.25">
      <c r="A67" t="s">
        <v>47</v>
      </c>
    </row>
    <row r="68" spans="1:9" x14ac:dyDescent="0.25">
      <c r="A68" t="s">
        <v>31</v>
      </c>
    </row>
    <row r="69" spans="1:9" x14ac:dyDescent="0.25">
      <c r="A69" t="s">
        <v>43</v>
      </c>
    </row>
    <row r="70" spans="1:9" x14ac:dyDescent="0.25">
      <c r="A70" t="s">
        <v>51</v>
      </c>
    </row>
    <row r="71" spans="1:9" x14ac:dyDescent="0.25">
      <c r="A71" t="s">
        <v>49</v>
      </c>
    </row>
    <row r="72" spans="1:9" x14ac:dyDescent="0.25">
      <c r="A72" t="s">
        <v>50</v>
      </c>
    </row>
    <row r="74" spans="1:9" x14ac:dyDescent="0.25">
      <c r="A74" t="s">
        <v>71</v>
      </c>
      <c r="F74" t="s">
        <v>227</v>
      </c>
      <c r="I74" t="s">
        <v>230</v>
      </c>
    </row>
    <row r="75" spans="1:9" x14ac:dyDescent="0.25">
      <c r="A75" t="s">
        <v>72</v>
      </c>
      <c r="F75" t="s">
        <v>127</v>
      </c>
      <c r="I75" t="s">
        <v>229</v>
      </c>
    </row>
    <row r="76" spans="1:9" x14ac:dyDescent="0.25">
      <c r="A76" t="s">
        <v>243</v>
      </c>
      <c r="F76" t="s">
        <v>82</v>
      </c>
      <c r="I76" t="s">
        <v>258</v>
      </c>
    </row>
    <row r="77" spans="1:9" x14ac:dyDescent="0.25">
      <c r="A77" t="s">
        <v>225</v>
      </c>
    </row>
    <row r="78" spans="1:9" x14ac:dyDescent="0.25">
      <c r="A78" t="s">
        <v>96</v>
      </c>
    </row>
    <row r="80" spans="1:9" x14ac:dyDescent="0.25">
      <c r="A80" t="s">
        <v>73</v>
      </c>
      <c r="F80" t="s">
        <v>202</v>
      </c>
    </row>
    <row r="81" spans="1:6" x14ac:dyDescent="0.25">
      <c r="A81" t="s">
        <v>201</v>
      </c>
      <c r="F81" t="s">
        <v>204</v>
      </c>
    </row>
    <row r="82" spans="1:6" x14ac:dyDescent="0.25">
      <c r="A82" t="s">
        <v>105</v>
      </c>
      <c r="F82" t="s">
        <v>203</v>
      </c>
    </row>
    <row r="85" spans="1:6" x14ac:dyDescent="0.25">
      <c r="A85" s="3" t="s">
        <v>263</v>
      </c>
    </row>
    <row r="86" spans="1:6" x14ac:dyDescent="0.25">
      <c r="A86" t="s">
        <v>264</v>
      </c>
    </row>
    <row r="87" spans="1:6" x14ac:dyDescent="0.25">
      <c r="A87" t="s">
        <v>265</v>
      </c>
    </row>
  </sheetData>
  <sortState xmlns:xlrd2="http://schemas.microsoft.com/office/spreadsheetml/2017/richdata2" ref="A28:A72">
    <sortCondition ref="A28"/>
  </sortState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61"/>
  <sheetViews>
    <sheetView topLeftCell="A19" workbookViewId="0">
      <selection activeCell="A21" sqref="A21:A22"/>
    </sheetView>
  </sheetViews>
  <sheetFormatPr defaultRowHeight="15" x14ac:dyDescent="0.25"/>
  <sheetData>
    <row r="1" spans="1:8" x14ac:dyDescent="0.25">
      <c r="A1" s="3" t="s">
        <v>109</v>
      </c>
    </row>
    <row r="2" spans="1:8" x14ac:dyDescent="0.25">
      <c r="A2" t="s">
        <v>110</v>
      </c>
    </row>
    <row r="3" spans="1:8" x14ac:dyDescent="0.25">
      <c r="A3" t="s">
        <v>111</v>
      </c>
    </row>
    <row r="4" spans="1:8" x14ac:dyDescent="0.25">
      <c r="A4" t="s">
        <v>112</v>
      </c>
      <c r="H4" s="3" t="s">
        <v>114</v>
      </c>
    </row>
    <row r="5" spans="1:8" x14ac:dyDescent="0.25">
      <c r="H5" t="s">
        <v>267</v>
      </c>
    </row>
    <row r="6" spans="1:8" x14ac:dyDescent="0.25">
      <c r="A6" s="3" t="s">
        <v>113</v>
      </c>
      <c r="H6" t="s">
        <v>266</v>
      </c>
    </row>
    <row r="7" spans="1:8" x14ac:dyDescent="0.25">
      <c r="A7" t="s">
        <v>107</v>
      </c>
      <c r="H7" t="s">
        <v>262</v>
      </c>
    </row>
    <row r="8" spans="1:8" x14ac:dyDescent="0.25">
      <c r="A8" t="s">
        <v>108</v>
      </c>
      <c r="H8" t="s">
        <v>121</v>
      </c>
    </row>
    <row r="9" spans="1:8" x14ac:dyDescent="0.25">
      <c r="H9" t="s">
        <v>115</v>
      </c>
    </row>
    <row r="10" spans="1:8" x14ac:dyDescent="0.25">
      <c r="A10" s="3" t="s">
        <v>117</v>
      </c>
      <c r="H10" t="s">
        <v>124</v>
      </c>
    </row>
    <row r="11" spans="1:8" x14ac:dyDescent="0.25">
      <c r="A11" t="s">
        <v>122</v>
      </c>
      <c r="H11" t="s">
        <v>128</v>
      </c>
    </row>
    <row r="12" spans="1:8" x14ac:dyDescent="0.25">
      <c r="A12" t="s">
        <v>120</v>
      </c>
      <c r="H12" t="s">
        <v>116</v>
      </c>
    </row>
    <row r="13" spans="1:8" x14ac:dyDescent="0.25">
      <c r="A13" t="s">
        <v>118</v>
      </c>
      <c r="H13" t="s">
        <v>126</v>
      </c>
    </row>
    <row r="14" spans="1:8" x14ac:dyDescent="0.25">
      <c r="A14" t="s">
        <v>123</v>
      </c>
      <c r="H14" t="s">
        <v>119</v>
      </c>
    </row>
    <row r="16" spans="1:8" x14ac:dyDescent="0.25">
      <c r="A16" s="3" t="s">
        <v>125</v>
      </c>
    </row>
    <row r="17" spans="1:14" x14ac:dyDescent="0.25">
      <c r="A17" t="s">
        <v>127</v>
      </c>
    </row>
    <row r="18" spans="1:14" x14ac:dyDescent="0.25">
      <c r="A18" t="s">
        <v>82</v>
      </c>
    </row>
    <row r="20" spans="1:14" x14ac:dyDescent="0.25">
      <c r="A20" s="3" t="s">
        <v>129</v>
      </c>
      <c r="H20" s="3" t="s">
        <v>236</v>
      </c>
      <c r="N20" s="3" t="s">
        <v>130</v>
      </c>
    </row>
    <row r="21" spans="1:14" x14ac:dyDescent="0.25">
      <c r="A21" t="s">
        <v>260</v>
      </c>
      <c r="H21" t="s">
        <v>238</v>
      </c>
      <c r="N21" t="s">
        <v>131</v>
      </c>
    </row>
    <row r="22" spans="1:14" x14ac:dyDescent="0.25">
      <c r="A22" t="s">
        <v>132</v>
      </c>
      <c r="H22" t="s">
        <v>250</v>
      </c>
    </row>
    <row r="23" spans="1:14" x14ac:dyDescent="0.25">
      <c r="H23" t="s">
        <v>251</v>
      </c>
      <c r="N23" s="3" t="s">
        <v>133</v>
      </c>
    </row>
    <row r="24" spans="1:14" x14ac:dyDescent="0.25">
      <c r="H24" t="s">
        <v>246</v>
      </c>
      <c r="N24" t="s">
        <v>134</v>
      </c>
    </row>
    <row r="25" spans="1:14" x14ac:dyDescent="0.25">
      <c r="H25" t="s">
        <v>248</v>
      </c>
    </row>
    <row r="26" spans="1:14" x14ac:dyDescent="0.25">
      <c r="A26" s="3" t="s">
        <v>135</v>
      </c>
      <c r="H26" t="s">
        <v>239</v>
      </c>
      <c r="N26" s="3" t="s">
        <v>130</v>
      </c>
    </row>
    <row r="27" spans="1:14" x14ac:dyDescent="0.25">
      <c r="A27" t="s">
        <v>136</v>
      </c>
      <c r="H27" t="s">
        <v>247</v>
      </c>
      <c r="N27" t="s">
        <v>137</v>
      </c>
    </row>
    <row r="28" spans="1:14" x14ac:dyDescent="0.25">
      <c r="A28" t="s">
        <v>138</v>
      </c>
      <c r="H28" t="s">
        <v>249</v>
      </c>
    </row>
    <row r="29" spans="1:14" x14ac:dyDescent="0.25">
      <c r="H29" t="s">
        <v>237</v>
      </c>
    </row>
    <row r="30" spans="1:14" x14ac:dyDescent="0.25">
      <c r="A30" s="3" t="s">
        <v>139</v>
      </c>
      <c r="H30" t="s">
        <v>245</v>
      </c>
    </row>
    <row r="31" spans="1:14" x14ac:dyDescent="0.25">
      <c r="A31" t="s">
        <v>140</v>
      </c>
    </row>
    <row r="32" spans="1:14" x14ac:dyDescent="0.25">
      <c r="A32" t="s">
        <v>141</v>
      </c>
      <c r="N32" s="3" t="s">
        <v>142</v>
      </c>
    </row>
    <row r="33" spans="1:14" x14ac:dyDescent="0.25">
      <c r="N33" t="s">
        <v>143</v>
      </c>
    </row>
    <row r="34" spans="1:14" x14ac:dyDescent="0.25">
      <c r="N34" t="s">
        <v>144</v>
      </c>
    </row>
    <row r="35" spans="1:14" x14ac:dyDescent="0.25">
      <c r="A35" s="3" t="s">
        <v>145</v>
      </c>
      <c r="N35" t="s">
        <v>146</v>
      </c>
    </row>
    <row r="36" spans="1:14" x14ac:dyDescent="0.25">
      <c r="A36" t="s">
        <v>127</v>
      </c>
      <c r="N36" t="s">
        <v>147</v>
      </c>
    </row>
    <row r="37" spans="1:14" x14ac:dyDescent="0.25">
      <c r="A37" t="s">
        <v>82</v>
      </c>
      <c r="N37" t="s">
        <v>148</v>
      </c>
    </row>
    <row r="38" spans="1:14" x14ac:dyDescent="0.25">
      <c r="N38" t="s">
        <v>149</v>
      </c>
    </row>
    <row r="39" spans="1:14" x14ac:dyDescent="0.25">
      <c r="N39" t="s">
        <v>150</v>
      </c>
    </row>
    <row r="40" spans="1:14" x14ac:dyDescent="0.25">
      <c r="A40" s="3" t="s">
        <v>151</v>
      </c>
      <c r="H40" s="3" t="s">
        <v>253</v>
      </c>
      <c r="N40" t="s">
        <v>152</v>
      </c>
    </row>
    <row r="41" spans="1:14" x14ac:dyDescent="0.25">
      <c r="A41" t="s">
        <v>153</v>
      </c>
      <c r="H41" t="s">
        <v>254</v>
      </c>
      <c r="N41" t="s">
        <v>154</v>
      </c>
    </row>
    <row r="42" spans="1:14" x14ac:dyDescent="0.25">
      <c r="A42" t="s">
        <v>155</v>
      </c>
      <c r="H42" t="s">
        <v>255</v>
      </c>
      <c r="N42" t="s">
        <v>156</v>
      </c>
    </row>
    <row r="43" spans="1:14" x14ac:dyDescent="0.25">
      <c r="A43" t="s">
        <v>157</v>
      </c>
      <c r="H43" t="s">
        <v>256</v>
      </c>
      <c r="N43" t="s">
        <v>158</v>
      </c>
    </row>
    <row r="44" spans="1:14" x14ac:dyDescent="0.25">
      <c r="A44" t="s">
        <v>159</v>
      </c>
      <c r="H44" t="s">
        <v>257</v>
      </c>
      <c r="N44" t="s">
        <v>160</v>
      </c>
    </row>
    <row r="45" spans="1:14" x14ac:dyDescent="0.25">
      <c r="A45" t="s">
        <v>161</v>
      </c>
      <c r="N45" t="s">
        <v>162</v>
      </c>
    </row>
    <row r="46" spans="1:14" x14ac:dyDescent="0.25">
      <c r="A46" t="s">
        <v>163</v>
      </c>
      <c r="N46" t="s">
        <v>164</v>
      </c>
    </row>
    <row r="47" spans="1:14" x14ac:dyDescent="0.25">
      <c r="A47" t="s">
        <v>165</v>
      </c>
      <c r="N47" t="s">
        <v>166</v>
      </c>
    </row>
    <row r="48" spans="1:14" x14ac:dyDescent="0.25">
      <c r="N48" t="s">
        <v>167</v>
      </c>
    </row>
    <row r="49" spans="1:14" x14ac:dyDescent="0.25">
      <c r="A49" s="3" t="s">
        <v>168</v>
      </c>
      <c r="N49" t="s">
        <v>169</v>
      </c>
    </row>
    <row r="50" spans="1:14" x14ac:dyDescent="0.25">
      <c r="A50" t="s">
        <v>170</v>
      </c>
    </row>
    <row r="51" spans="1:14" x14ac:dyDescent="0.25">
      <c r="A51" t="s">
        <v>171</v>
      </c>
    </row>
    <row r="52" spans="1:14" x14ac:dyDescent="0.25">
      <c r="A52" t="s">
        <v>261</v>
      </c>
    </row>
    <row r="53" spans="1:14" x14ac:dyDescent="0.25">
      <c r="A53" t="s">
        <v>172</v>
      </c>
    </row>
    <row r="54" spans="1:14" x14ac:dyDescent="0.25">
      <c r="A54" t="s">
        <v>173</v>
      </c>
    </row>
    <row r="55" spans="1:14" x14ac:dyDescent="0.25">
      <c r="A55" t="s">
        <v>12</v>
      </c>
    </row>
    <row r="57" spans="1:14" x14ac:dyDescent="0.25">
      <c r="A57" s="3" t="s">
        <v>174</v>
      </c>
    </row>
    <row r="58" spans="1:14" x14ac:dyDescent="0.25">
      <c r="A58" t="s">
        <v>175</v>
      </c>
    </row>
    <row r="59" spans="1:14" x14ac:dyDescent="0.25">
      <c r="A59" t="s">
        <v>176</v>
      </c>
    </row>
    <row r="60" spans="1:14" x14ac:dyDescent="0.25">
      <c r="A60" t="s">
        <v>177</v>
      </c>
    </row>
    <row r="61" spans="1:14" x14ac:dyDescent="0.25">
      <c r="A61" t="s">
        <v>12</v>
      </c>
    </row>
  </sheetData>
  <sortState xmlns:xlrd2="http://schemas.microsoft.com/office/spreadsheetml/2017/richdata2" ref="A11:A14">
    <sortCondition ref="A11"/>
  </sortState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245F86365D144814EBA5D244E484B" ma:contentTypeVersion="1" ma:contentTypeDescription="Create a new document." ma:contentTypeScope="" ma:versionID="179002b810e801a1566a43f7490f66f4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a447206dab0015f8b9f8924535193e8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" ma:hidden="true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B11AB0-AFD0-4B70-AB92-FFF4EF01FC70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5A218DB-D14D-40F8-980E-EA2F1ED484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2D97E3-D09F-4F5D-820E-FFB44FDE8E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111</vt:i4>
      </vt:variant>
    </vt:vector>
  </HeadingPairs>
  <TitlesOfParts>
    <vt:vector size="117" baseType="lpstr">
      <vt:lpstr>Quote Assessment</vt:lpstr>
      <vt:lpstr>Total Loss Assessment</vt:lpstr>
      <vt:lpstr>Supplementary</vt:lpstr>
      <vt:lpstr>Settings</vt:lpstr>
      <vt:lpstr>Assessment Lookups</vt:lpstr>
      <vt:lpstr>Total loss Lookups</vt:lpstr>
      <vt:lpstr>Supplementary!AgreedBy</vt:lpstr>
      <vt:lpstr>AgreedBy</vt:lpstr>
      <vt:lpstr>Assessment_Mode</vt:lpstr>
      <vt:lpstr>Supplementary!AssessmentMode</vt:lpstr>
      <vt:lpstr>'Total Loss Assessment'!AssessmentMode</vt:lpstr>
      <vt:lpstr>AssessmentMode</vt:lpstr>
      <vt:lpstr>Assessor_Base</vt:lpstr>
      <vt:lpstr>Assessor_Name</vt:lpstr>
      <vt:lpstr>'Total Loss Assessment'!Customer_Informed</vt:lpstr>
      <vt:lpstr>Customer_Informed_No_Contact_Reason</vt:lpstr>
      <vt:lpstr>Damage</vt:lpstr>
      <vt:lpstr>Supplementary!GC_GABRef</vt:lpstr>
      <vt:lpstr>'Total Loss Assessment'!GC_GABRef</vt:lpstr>
      <vt:lpstr>GC_GABRef</vt:lpstr>
      <vt:lpstr>Supplementary!GC_Insured</vt:lpstr>
      <vt:lpstr>GC_Insured</vt:lpstr>
      <vt:lpstr>Supplementary!GC_TodaysDate</vt:lpstr>
      <vt:lpstr>GC_TodaysDate</vt:lpstr>
      <vt:lpstr>Supplementary!GC_YourRef</vt:lpstr>
      <vt:lpstr>'Total Loss Assessment'!GC_YourRef</vt:lpstr>
      <vt:lpstr>GC_YourRef</vt:lpstr>
      <vt:lpstr>Hubometer</vt:lpstr>
      <vt:lpstr>Supplementary!InsuredMobile</vt:lpstr>
      <vt:lpstr>InsuredMobile</vt:lpstr>
      <vt:lpstr>'Total Loss Assessment'!LabourType</vt:lpstr>
      <vt:lpstr>LabourType</vt:lpstr>
      <vt:lpstr>Supplementary!LossAdjuster</vt:lpstr>
      <vt:lpstr>'Total Loss Assessment'!LossAdjuster</vt:lpstr>
      <vt:lpstr>LossAdjuster</vt:lpstr>
      <vt:lpstr>'Total Loss Assessment'!LossReason</vt:lpstr>
      <vt:lpstr>LossReason</vt:lpstr>
      <vt:lpstr>Supplementary!MakeModel</vt:lpstr>
      <vt:lpstr>'Total Loss Assessment'!MakeModel</vt:lpstr>
      <vt:lpstr>MakeModel</vt:lpstr>
      <vt:lpstr>'Total Loss Assessment'!MarkUp</vt:lpstr>
      <vt:lpstr>MarkUp</vt:lpstr>
      <vt:lpstr>Supplementary!Model</vt:lpstr>
      <vt:lpstr>'Total Loss Assessment'!Model</vt:lpstr>
      <vt:lpstr>Model</vt:lpstr>
      <vt:lpstr>'Total Loss Assessment'!Motive_Power</vt:lpstr>
      <vt:lpstr>'Total Loss Assessment'!MotivePower</vt:lpstr>
      <vt:lpstr>MotivePower</vt:lpstr>
      <vt:lpstr>'Quote Assessment'!Nett_Total_Assessed</vt:lpstr>
      <vt:lpstr>Supplementary!Nett_Total_Assessed</vt:lpstr>
      <vt:lpstr>Supplementary!Nett_Total_Assessed_Supp</vt:lpstr>
      <vt:lpstr>'Quote Assessment'!Nett_Total_Quoted</vt:lpstr>
      <vt:lpstr>Supplementary!Nett_Total_Quoted</vt:lpstr>
      <vt:lpstr>Supplementary!Nett_Total_Quoted_Supp</vt:lpstr>
      <vt:lpstr>Odometer</vt:lpstr>
      <vt:lpstr>'Total Loss Assessment'!Other_Reason</vt:lpstr>
      <vt:lpstr>Other_Source</vt:lpstr>
      <vt:lpstr>'Total Loss Assessment'!Outcome</vt:lpstr>
      <vt:lpstr>Outcome</vt:lpstr>
      <vt:lpstr>'Total Loss Assessment'!PaintType</vt:lpstr>
      <vt:lpstr>PaintType</vt:lpstr>
      <vt:lpstr>'Total Loss Assessment'!PartsType</vt:lpstr>
      <vt:lpstr>PartsType</vt:lpstr>
      <vt:lpstr>PAV_Obtained</vt:lpstr>
      <vt:lpstr>'Total Loss Assessment'!Print_Area</vt:lpstr>
      <vt:lpstr>Supplementary!Quote_Total_Assessed</vt:lpstr>
      <vt:lpstr>Quote_Total_Assessed</vt:lpstr>
      <vt:lpstr>Supplementary!Quote_Total_Quoted</vt:lpstr>
      <vt:lpstr>Quote_Total_Quoted</vt:lpstr>
      <vt:lpstr>Supplementary!QuoteOutcome</vt:lpstr>
      <vt:lpstr>QuoteOutcome</vt:lpstr>
      <vt:lpstr>QuoteOutcomeReason</vt:lpstr>
      <vt:lpstr>'Total Loss Assessment'!Reason</vt:lpstr>
      <vt:lpstr>ReasonForNoEstimate</vt:lpstr>
      <vt:lpstr>'Total Loss Assessment'!ReasonforNoWOVR</vt:lpstr>
      <vt:lpstr>ReasonforNoWOVR</vt:lpstr>
      <vt:lpstr>Supplementary!Rego</vt:lpstr>
      <vt:lpstr>'Total Loss Assessment'!Rego</vt:lpstr>
      <vt:lpstr>Rego</vt:lpstr>
      <vt:lpstr>Rego_Plates</vt:lpstr>
      <vt:lpstr>Repair_Estimate</vt:lpstr>
      <vt:lpstr>Supplementary!Repairer</vt:lpstr>
      <vt:lpstr>'Total Loss Assessment'!RepairEstimateObtained</vt:lpstr>
      <vt:lpstr>RepairEstimateObtained</vt:lpstr>
      <vt:lpstr>Replacement_Vehicle</vt:lpstr>
      <vt:lpstr>'Total Loss Assessment'!ReplacementVehicle</vt:lpstr>
      <vt:lpstr>ReplacementVehicle</vt:lpstr>
      <vt:lpstr>'Total Loss Assessment'!RUC</vt:lpstr>
      <vt:lpstr>Salvage_Disposal</vt:lpstr>
      <vt:lpstr>Salvage_Estimate</vt:lpstr>
      <vt:lpstr>Salvage_Estimate_Source</vt:lpstr>
      <vt:lpstr>SalvageDisposal</vt:lpstr>
      <vt:lpstr>'Total Loss Assessment'!SalvageEstimateSource</vt:lpstr>
      <vt:lpstr>SalvageEstimateSource</vt:lpstr>
      <vt:lpstr>'Total Loss Assessment'!SourceType</vt:lpstr>
      <vt:lpstr>SourceType</vt:lpstr>
      <vt:lpstr>'Total Loss Assessment'!SubletType</vt:lpstr>
      <vt:lpstr>SubletType</vt:lpstr>
      <vt:lpstr>TL_Assessment_Mode</vt:lpstr>
      <vt:lpstr>TL_ClaimNumber</vt:lpstr>
      <vt:lpstr>TL_Make</vt:lpstr>
      <vt:lpstr>TL_Model</vt:lpstr>
      <vt:lpstr>TL_Rego</vt:lpstr>
      <vt:lpstr>TL_Year</vt:lpstr>
      <vt:lpstr>'Total Loss Assessment'!TotalLoss</vt:lpstr>
      <vt:lpstr>TotalLoss</vt:lpstr>
      <vt:lpstr>Turners_Branch</vt:lpstr>
      <vt:lpstr>TypeofAssessment</vt:lpstr>
      <vt:lpstr>Vehicle_Location</vt:lpstr>
      <vt:lpstr>Vehicle_Type</vt:lpstr>
      <vt:lpstr>'Total Loss Assessment'!VehicleColour</vt:lpstr>
      <vt:lpstr>VehicleColour</vt:lpstr>
      <vt:lpstr>'Total Loss Assessment'!WOVRVehicleType</vt:lpstr>
      <vt:lpstr>WOVRVehicleType</vt:lpstr>
      <vt:lpstr>Supplementary!Year</vt:lpstr>
      <vt:lpstr>'Total Loss Assessment'!Year</vt:lpstr>
      <vt:lpstr>Year</vt:lpstr>
    </vt:vector>
  </TitlesOfParts>
  <Company>Suncorp-Metway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HOPE, Kirsty</dc:creator>
  <cp:lastModifiedBy>Wendi Paton</cp:lastModifiedBy>
  <cp:lastPrinted>2021-10-27T14:01:03Z</cp:lastPrinted>
  <dcterms:created xsi:type="dcterms:W3CDTF">2016-07-07T22:49:46Z</dcterms:created>
  <dcterms:modified xsi:type="dcterms:W3CDTF">2025-03-06T05:38:24Z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0x01010093A245F86365D144814EBA5D244E484B</vt:lpwstr>
  </property>
  <property fmtid="{D5CDD505-2E9C-101B-9397-08002B2CF9AE}" pid="3" name="MSIP_Label_21ad8c97-d57d-4f8f-ae51-0d0789bbaa5c_Enabled">
    <vt:lpwstr>true</vt:lpwstr>
  </property>
  <property fmtid="{D5CDD505-2E9C-101B-9397-08002B2CF9AE}" pid="4" name="MSIP_Label_21ad8c97-d57d-4f8f-ae51-0d0789bbaa5c_SetDate">
    <vt:lpwstr>2021-09-01T03:24:14Z</vt:lpwstr>
  </property>
  <property fmtid="{D5CDD505-2E9C-101B-9397-08002B2CF9AE}" pid="5" name="MSIP_Label_21ad8c97-d57d-4f8f-ae51-0d0789bbaa5c_Method">
    <vt:lpwstr>Privileged</vt:lpwstr>
  </property>
  <property fmtid="{D5CDD505-2E9C-101B-9397-08002B2CF9AE}" pid="6" name="MSIP_Label_21ad8c97-d57d-4f8f-ae51-0d0789bbaa5c_Name">
    <vt:lpwstr>Public</vt:lpwstr>
  </property>
  <property fmtid="{D5CDD505-2E9C-101B-9397-08002B2CF9AE}" pid="7" name="MSIP_Label_21ad8c97-d57d-4f8f-ae51-0d0789bbaa5c_SiteId">
    <vt:lpwstr>43f93f8a-55a8-4263-bd84-e03688a2ab2d</vt:lpwstr>
  </property>
  <property fmtid="{D5CDD505-2E9C-101B-9397-08002B2CF9AE}" pid="8" name="MSIP_Label_21ad8c97-d57d-4f8f-ae51-0d0789bbaa5c_ActionId">
    <vt:lpwstr>bb148d74-0e59-48f6-9321-422bc3e85828</vt:lpwstr>
  </property>
  <property fmtid="{D5CDD505-2E9C-101B-9397-08002B2CF9AE}" pid="9" name="MSIP_Label_21ad8c97-d57d-4f8f-ae51-0d0789bbaa5c_ContentBits">
    <vt:lpwstr>0</vt:lpwstr>
  </property>
</Properties>
</file>